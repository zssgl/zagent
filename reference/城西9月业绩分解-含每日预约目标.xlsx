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joey.zhou\D\ACD\Project Y\DD\business plan\monthly activity\202509\"/>
    </mc:Choice>
  </mc:AlternateContent>
  <xr:revisionPtr revIDLastSave="0" documentId="13_ncr:1_{250E3479-DC72-43B5-BA9F-38081BDE7B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Sheet1!$S$13:$V$34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5" i="1" l="1"/>
  <c r="Z9" i="1"/>
  <c r="Z34" i="1"/>
  <c r="X7" i="1"/>
  <c r="Z7" i="1" s="1"/>
  <c r="X8" i="1"/>
  <c r="X9" i="1"/>
  <c r="X10" i="1"/>
  <c r="X11" i="1"/>
  <c r="Z11" i="1" s="1"/>
  <c r="X12" i="1"/>
  <c r="X13" i="1"/>
  <c r="Z13" i="1" s="1"/>
  <c r="X14" i="1"/>
  <c r="Z14" i="1" s="1"/>
  <c r="X15" i="1"/>
  <c r="X16" i="1"/>
  <c r="Z16" i="1" s="1"/>
  <c r="X17" i="1"/>
  <c r="Z17" i="1" s="1"/>
  <c r="X18" i="1"/>
  <c r="Z18" i="1" s="1"/>
  <c r="X19" i="1"/>
  <c r="X20" i="1"/>
  <c r="Z20" i="1" s="1"/>
  <c r="X21" i="1"/>
  <c r="Z21" i="1" s="1"/>
  <c r="X22" i="1"/>
  <c r="X23" i="1"/>
  <c r="Z23" i="1" s="1"/>
  <c r="X24" i="1"/>
  <c r="Z24" i="1" s="1"/>
  <c r="X25" i="1"/>
  <c r="Z25" i="1" s="1"/>
  <c r="X26" i="1"/>
  <c r="X27" i="1"/>
  <c r="Z27" i="1" s="1"/>
  <c r="X28" i="1"/>
  <c r="Z28" i="1" s="1"/>
  <c r="X29" i="1"/>
  <c r="X30" i="1"/>
  <c r="Z30" i="1" s="1"/>
  <c r="X31" i="1"/>
  <c r="Z31" i="1" s="1"/>
  <c r="X32" i="1"/>
  <c r="Z32" i="1" s="1"/>
  <c r="X33" i="1"/>
  <c r="X34" i="1"/>
  <c r="X6" i="1"/>
  <c r="Z6" i="1" s="1"/>
  <c r="M35" i="1"/>
  <c r="L35" i="1"/>
  <c r="K35" i="1"/>
  <c r="J35" i="1"/>
  <c r="T35" i="1"/>
  <c r="S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X35" i="1" l="1"/>
  <c r="Z10" i="1"/>
</calcChain>
</file>

<file path=xl/sharedStrings.xml><?xml version="1.0" encoding="utf-8"?>
<sst xmlns="http://schemas.openxmlformats.org/spreadsheetml/2006/main" count="232" uniqueCount="39">
  <si>
    <t>门店</t>
  </si>
  <si>
    <t>日期</t>
  </si>
  <si>
    <t>排班</t>
  </si>
  <si>
    <t>开单</t>
  </si>
  <si>
    <r>
      <rPr>
        <b/>
        <sz val="10"/>
        <color theme="1"/>
        <rFont val="等线"/>
      </rPr>
      <t>消耗目标</t>
    </r>
    <r>
      <rPr>
        <sz val="10"/>
        <color rgb="FFFF0000"/>
        <rFont val="等线"/>
      </rPr>
      <t>（每日：门店目标=健康管理人消耗目标）</t>
    </r>
  </si>
  <si>
    <t>营运经理</t>
  </si>
  <si>
    <t>咨询</t>
  </si>
  <si>
    <t>护士</t>
  </si>
  <si>
    <t>客服</t>
  </si>
  <si>
    <t>专家日</t>
  </si>
  <si>
    <t>专场/沙龙</t>
  </si>
  <si>
    <t>门店
(700000)</t>
  </si>
  <si>
    <t>医生排班</t>
  </si>
  <si>
    <t>门店
(600000)</t>
  </si>
  <si>
    <r>
      <rPr>
        <b/>
        <sz val="10"/>
        <color theme="1"/>
        <rFont val="等线"/>
      </rPr>
      <t>健康管理人</t>
    </r>
    <r>
      <rPr>
        <sz val="10"/>
        <color theme="1"/>
        <rFont val="等线"/>
      </rPr>
      <t>（含管理顾客的咨询及护士）</t>
    </r>
  </si>
  <si>
    <t>季玉</t>
  </si>
  <si>
    <t>李玲</t>
  </si>
  <si>
    <t>吴易帆</t>
  </si>
  <si>
    <t>张嫄苑</t>
  </si>
  <si>
    <t>季玉（687000）</t>
  </si>
  <si>
    <t>李玲（10000）</t>
  </si>
  <si>
    <t>吴易帆（3000）</t>
  </si>
  <si>
    <t>宋为民</t>
  </si>
  <si>
    <t>黄台曼</t>
  </si>
  <si>
    <t>杨慧</t>
  </si>
  <si>
    <t>季玉
（600000）</t>
  </si>
  <si>
    <t>城西</t>
  </si>
  <si>
    <t>Y</t>
  </si>
  <si>
    <t>汇总</t>
  </si>
  <si>
    <t>周一</t>
    <phoneticPr fontId="6" type="noConversion"/>
  </si>
  <si>
    <t>周二</t>
    <phoneticPr fontId="6" type="noConversion"/>
  </si>
  <si>
    <t>周三</t>
    <phoneticPr fontId="6" type="noConversion"/>
  </si>
  <si>
    <t>周四</t>
    <phoneticPr fontId="6" type="noConversion"/>
  </si>
  <si>
    <t>周五</t>
    <phoneticPr fontId="6" type="noConversion"/>
  </si>
  <si>
    <t>周六</t>
    <phoneticPr fontId="6" type="noConversion"/>
  </si>
  <si>
    <t>周日</t>
    <phoneticPr fontId="6" type="noConversion"/>
  </si>
  <si>
    <t>预约目标全店</t>
    <phoneticPr fontId="6" type="noConversion"/>
  </si>
  <si>
    <t>预约目标-季玉</t>
    <phoneticPr fontId="6" type="noConversion"/>
  </si>
  <si>
    <t>消耗客单计算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</si>
</sst>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80" formatCode="_ * #,##0_ ;_ * \-#,##0_ ;_ * &quot;-&quot;??_ ;_ @_ "/>
  </numFmts>
  <fonts count="7">
    <font>
      <sz val="11"/>
      <color theme="1"/>
      <name val="宋体"/>
      <charset val="134"/>
      <scheme val="minor"/>
    </font>
    <font>
      <sz val="10"/>
      <color theme="1"/>
      <name val="等线"/>
    </font>
    <font>
      <b/>
      <sz val="10"/>
      <color theme="1"/>
      <name val="等线"/>
    </font>
    <font>
      <b/>
      <sz val="10"/>
      <name val="等线"/>
    </font>
    <font>
      <sz val="10"/>
      <color rgb="FFFF0000"/>
      <name val="等线"/>
    </font>
    <font>
      <sz val="11"/>
      <color theme="1"/>
      <name val="宋体"/>
      <scheme val="minor"/>
    </font>
    <font>
      <sz val="9"/>
      <name val="宋体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58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58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58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80" fontId="1" fillId="0" borderId="4" xfId="1" applyNumberFormat="1" applyFont="1" applyFill="1" applyBorder="1" applyAlignment="1">
      <alignment horizontal="center" vertical="center"/>
    </xf>
    <xf numFmtId="180" fontId="1" fillId="2" borderId="4" xfId="1" applyNumberFormat="1" applyFont="1" applyFill="1" applyBorder="1" applyAlignment="1">
      <alignment horizontal="center" vertical="center"/>
    </xf>
    <xf numFmtId="180" fontId="1" fillId="0" borderId="0" xfId="1" applyNumberFormat="1" applyFont="1" applyFill="1" applyAlignment="1">
      <alignment horizontal="center" vertical="center"/>
    </xf>
    <xf numFmtId="180" fontId="1" fillId="0" borderId="3" xfId="1" applyNumberFormat="1" applyFont="1" applyFill="1" applyBorder="1" applyAlignment="1">
      <alignment horizontal="center" vertical="center"/>
    </xf>
    <xf numFmtId="180" fontId="1" fillId="2" borderId="3" xfId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80" fontId="1" fillId="0" borderId="0" xfId="1" applyNumberFormat="1" applyFont="1" applyFill="1" applyAlignment="1">
      <alignment horizontal="center" vertical="center" wrapText="1"/>
    </xf>
    <xf numFmtId="180" fontId="1" fillId="2" borderId="0" xfId="1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tabSelected="1" zoomScale="90" zoomScaleNormal="90" workbookViewId="0">
      <pane xSplit="2" ySplit="4" topLeftCell="M5" activePane="bottomRight" state="frozen"/>
      <selection pane="topRight"/>
      <selection pane="bottomLeft"/>
      <selection pane="bottomRight" activeCell="Z39" sqref="Z39"/>
    </sheetView>
  </sheetViews>
  <sheetFormatPr defaultColWidth="9.1796875" defaultRowHeight="13"/>
  <cols>
    <col min="1" max="2" width="9.1796875" style="1"/>
    <col min="3" max="8" width="9.1796875" style="1" customWidth="1"/>
    <col min="9" max="9" width="10.6328125" style="1" customWidth="1"/>
    <col min="10" max="10" width="14" style="1" customWidth="1"/>
    <col min="11" max="11" width="10.7265625" style="1" customWidth="1"/>
    <col min="12" max="16" width="9.81640625" style="1" customWidth="1"/>
    <col min="17" max="17" width="9.1796875" style="36"/>
    <col min="18" max="18" width="9.81640625" style="36" customWidth="1"/>
    <col min="19" max="19" width="11.7265625" style="1" customWidth="1"/>
    <col min="20" max="20" width="15.7265625" style="1" customWidth="1"/>
    <col min="21" max="23" width="9.81640625" style="1" customWidth="1"/>
    <col min="24" max="25" width="9.1796875" style="1"/>
    <col min="26" max="26" width="9.1796875" style="42"/>
    <col min="27" max="16384" width="9.1796875" style="1"/>
  </cols>
  <sheetData>
    <row r="1" spans="1:26" ht="13.5" thickBot="1"/>
    <row r="2" spans="1:26">
      <c r="A2" s="28" t="s">
        <v>0</v>
      </c>
      <c r="B2" s="30" t="s">
        <v>1</v>
      </c>
      <c r="C2" s="19" t="s">
        <v>2</v>
      </c>
      <c r="D2" s="19"/>
      <c r="E2" s="19"/>
      <c r="F2" s="19"/>
      <c r="G2" s="19"/>
      <c r="H2" s="19"/>
      <c r="I2" s="20"/>
      <c r="J2" s="21" t="s">
        <v>3</v>
      </c>
      <c r="K2" s="22"/>
      <c r="L2" s="22"/>
      <c r="M2" s="22"/>
      <c r="N2" s="22"/>
      <c r="O2" s="22"/>
      <c r="P2" s="23"/>
      <c r="Q2" s="30" t="s">
        <v>1</v>
      </c>
      <c r="R2" s="35"/>
      <c r="S2" s="24" t="s">
        <v>4</v>
      </c>
      <c r="T2" s="24"/>
      <c r="U2" s="24"/>
      <c r="V2" s="24"/>
      <c r="W2" s="24"/>
    </row>
    <row r="3" spans="1:26">
      <c r="A3" s="29"/>
      <c r="B3" s="31"/>
      <c r="C3" s="25" t="s">
        <v>5</v>
      </c>
      <c r="D3" s="4" t="s">
        <v>6</v>
      </c>
      <c r="E3" s="25" t="s">
        <v>7</v>
      </c>
      <c r="F3" s="25"/>
      <c r="G3" s="4" t="s">
        <v>8</v>
      </c>
      <c r="H3" s="25" t="s">
        <v>9</v>
      </c>
      <c r="I3" s="27" t="s">
        <v>10</v>
      </c>
      <c r="J3" s="32" t="s">
        <v>11</v>
      </c>
      <c r="K3" s="12" t="s">
        <v>6</v>
      </c>
      <c r="L3" s="26" t="s">
        <v>7</v>
      </c>
      <c r="M3" s="26"/>
      <c r="N3" s="25" t="s">
        <v>12</v>
      </c>
      <c r="O3" s="25"/>
      <c r="P3" s="27"/>
      <c r="Q3" s="31"/>
      <c r="R3" s="4"/>
      <c r="S3" s="34" t="s">
        <v>13</v>
      </c>
      <c r="T3" s="17" t="s">
        <v>14</v>
      </c>
      <c r="U3" s="25" t="s">
        <v>12</v>
      </c>
      <c r="V3" s="25"/>
      <c r="W3" s="25"/>
    </row>
    <row r="4" spans="1:26" ht="46" customHeight="1">
      <c r="A4" s="29"/>
      <c r="B4" s="31"/>
      <c r="C4" s="25"/>
      <c r="D4" s="5" t="s">
        <v>15</v>
      </c>
      <c r="E4" s="5" t="s">
        <v>16</v>
      </c>
      <c r="F4" s="5" t="s">
        <v>17</v>
      </c>
      <c r="G4" s="5" t="s">
        <v>18</v>
      </c>
      <c r="H4" s="25"/>
      <c r="I4" s="27"/>
      <c r="J4" s="33"/>
      <c r="K4" s="13" t="s">
        <v>19</v>
      </c>
      <c r="L4" s="13" t="s">
        <v>20</v>
      </c>
      <c r="M4" s="13" t="s">
        <v>21</v>
      </c>
      <c r="N4" s="3" t="s">
        <v>22</v>
      </c>
      <c r="O4" s="3" t="s">
        <v>23</v>
      </c>
      <c r="P4" s="4" t="s">
        <v>24</v>
      </c>
      <c r="Q4" s="31"/>
      <c r="R4" s="37"/>
      <c r="S4" s="24"/>
      <c r="T4" s="18" t="s">
        <v>25</v>
      </c>
      <c r="U4" s="3" t="s">
        <v>22</v>
      </c>
      <c r="V4" s="3" t="s">
        <v>23</v>
      </c>
      <c r="W4" s="3" t="s">
        <v>24</v>
      </c>
      <c r="X4" s="45" t="s">
        <v>36</v>
      </c>
      <c r="Y4" s="45" t="s">
        <v>37</v>
      </c>
      <c r="Z4" s="46" t="s">
        <v>38</v>
      </c>
    </row>
    <row r="5" spans="1:26">
      <c r="A5" s="6" t="s">
        <v>26</v>
      </c>
      <c r="B5" s="7">
        <v>45901</v>
      </c>
      <c r="C5" s="8"/>
      <c r="D5" s="8"/>
      <c r="E5" s="8"/>
      <c r="F5" s="8"/>
      <c r="G5" s="8"/>
      <c r="I5" s="8"/>
      <c r="J5" s="43">
        <f>K5+L5+M5</f>
        <v>0</v>
      </c>
      <c r="K5" s="40"/>
      <c r="L5" s="40"/>
      <c r="M5" s="40"/>
      <c r="N5" s="8"/>
      <c r="O5" s="8"/>
      <c r="P5" s="14"/>
      <c r="Q5" s="38">
        <v>45901</v>
      </c>
      <c r="R5" s="39" t="s">
        <v>29</v>
      </c>
      <c r="S5" s="40"/>
      <c r="T5" s="40"/>
      <c r="U5" s="8"/>
      <c r="V5" s="8"/>
      <c r="W5" s="8"/>
    </row>
    <row r="6" spans="1:26">
      <c r="A6" s="6" t="s">
        <v>26</v>
      </c>
      <c r="B6" s="7">
        <v>45902</v>
      </c>
      <c r="C6" s="8" t="s">
        <v>27</v>
      </c>
      <c r="D6" s="8" t="s">
        <v>27</v>
      </c>
      <c r="E6" s="8" t="s">
        <v>27</v>
      </c>
      <c r="F6" s="8" t="s">
        <v>27</v>
      </c>
      <c r="G6" s="8" t="s">
        <v>27</v>
      </c>
      <c r="H6" s="8"/>
      <c r="I6" s="8"/>
      <c r="J6" s="43">
        <f t="shared" ref="J6:J34" si="0">K6+L6+M6</f>
        <v>26400</v>
      </c>
      <c r="K6" s="40">
        <v>26000</v>
      </c>
      <c r="L6" s="40">
        <v>400</v>
      </c>
      <c r="M6" s="40"/>
      <c r="N6" s="8"/>
      <c r="O6" s="8"/>
      <c r="P6" s="14" t="s">
        <v>27</v>
      </c>
      <c r="Q6" s="38">
        <v>45902</v>
      </c>
      <c r="R6" s="39" t="s">
        <v>30</v>
      </c>
      <c r="S6" s="40">
        <v>20000</v>
      </c>
      <c r="T6" s="40">
        <v>20000</v>
      </c>
      <c r="U6" s="8"/>
      <c r="V6" s="8"/>
      <c r="W6" s="8" t="s">
        <v>27</v>
      </c>
      <c r="X6" s="1">
        <f>Y6</f>
        <v>5</v>
      </c>
      <c r="Y6" s="1">
        <v>5</v>
      </c>
      <c r="Z6" s="42">
        <f>S6/X6</f>
        <v>4000</v>
      </c>
    </row>
    <row r="7" spans="1:26">
      <c r="A7" s="6" t="s">
        <v>26</v>
      </c>
      <c r="B7" s="7">
        <v>45903</v>
      </c>
      <c r="C7" s="8"/>
      <c r="D7" s="8" t="s">
        <v>27</v>
      </c>
      <c r="E7" s="8" t="s">
        <v>27</v>
      </c>
      <c r="F7" s="8" t="s">
        <v>27</v>
      </c>
      <c r="G7" s="8" t="s">
        <v>27</v>
      </c>
      <c r="H7" s="8"/>
      <c r="I7" s="8"/>
      <c r="J7" s="43">
        <f t="shared" si="0"/>
        <v>26400</v>
      </c>
      <c r="K7" s="40">
        <v>26000</v>
      </c>
      <c r="L7" s="40">
        <v>400</v>
      </c>
      <c r="M7" s="40"/>
      <c r="N7" s="8"/>
      <c r="O7" s="8" t="s">
        <v>27</v>
      </c>
      <c r="P7" s="14"/>
      <c r="Q7" s="38">
        <v>45903</v>
      </c>
      <c r="R7" s="39" t="s">
        <v>31</v>
      </c>
      <c r="S7" s="40">
        <v>20000</v>
      </c>
      <c r="T7" s="40">
        <v>20000</v>
      </c>
      <c r="U7" s="8"/>
      <c r="V7" s="8" t="s">
        <v>27</v>
      </c>
      <c r="W7" s="8"/>
      <c r="X7" s="1">
        <f t="shared" ref="X7:X34" si="1">Y7</f>
        <v>6</v>
      </c>
      <c r="Y7" s="1">
        <v>6</v>
      </c>
      <c r="Z7" s="42">
        <f t="shared" ref="Z7:Z35" si="2">S7/X7</f>
        <v>3333.3333333333335</v>
      </c>
    </row>
    <row r="8" spans="1:26">
      <c r="A8" s="6" t="s">
        <v>26</v>
      </c>
      <c r="B8" s="7">
        <v>45904</v>
      </c>
      <c r="C8" s="8"/>
      <c r="D8" s="8"/>
      <c r="E8" s="8"/>
      <c r="F8" s="8"/>
      <c r="G8" s="8"/>
      <c r="H8" s="8"/>
      <c r="I8" s="8"/>
      <c r="J8" s="43">
        <f t="shared" si="0"/>
        <v>0</v>
      </c>
      <c r="K8" s="40"/>
      <c r="L8" s="40"/>
      <c r="M8" s="40"/>
      <c r="N8" s="8"/>
      <c r="O8" s="8"/>
      <c r="P8" s="14"/>
      <c r="Q8" s="38">
        <v>45904</v>
      </c>
      <c r="R8" s="39" t="s">
        <v>32</v>
      </c>
      <c r="S8" s="40"/>
      <c r="T8" s="40"/>
      <c r="U8" s="8"/>
      <c r="V8" s="8"/>
      <c r="W8" s="8"/>
      <c r="X8" s="1">
        <f t="shared" si="1"/>
        <v>0</v>
      </c>
    </row>
    <row r="9" spans="1:26">
      <c r="A9" s="6" t="s">
        <v>26</v>
      </c>
      <c r="B9" s="7">
        <v>45905</v>
      </c>
      <c r="C9" s="8"/>
      <c r="D9" s="8" t="s">
        <v>27</v>
      </c>
      <c r="E9" s="8" t="s">
        <v>27</v>
      </c>
      <c r="F9" s="8" t="s">
        <v>27</v>
      </c>
      <c r="G9" s="8" t="s">
        <v>27</v>
      </c>
      <c r="H9" s="8"/>
      <c r="I9" s="8"/>
      <c r="J9" s="43">
        <f t="shared" si="0"/>
        <v>26400</v>
      </c>
      <c r="K9" s="40">
        <v>26000</v>
      </c>
      <c r="L9" s="40">
        <v>400</v>
      </c>
      <c r="M9" s="40"/>
      <c r="N9" s="8"/>
      <c r="O9" s="8" t="s">
        <v>27</v>
      </c>
      <c r="P9" s="14"/>
      <c r="Q9" s="38">
        <v>45905</v>
      </c>
      <c r="R9" s="39" t="s">
        <v>33</v>
      </c>
      <c r="S9" s="40">
        <v>20000</v>
      </c>
      <c r="T9" s="40">
        <v>20000</v>
      </c>
      <c r="U9" s="8"/>
      <c r="V9" s="8" t="s">
        <v>27</v>
      </c>
      <c r="W9" s="8"/>
      <c r="X9" s="1">
        <f t="shared" si="1"/>
        <v>6</v>
      </c>
      <c r="Y9" s="1">
        <v>6</v>
      </c>
      <c r="Z9" s="42">
        <f t="shared" si="2"/>
        <v>3333.3333333333335</v>
      </c>
    </row>
    <row r="10" spans="1:26">
      <c r="A10" s="6" t="s">
        <v>26</v>
      </c>
      <c r="B10" s="7">
        <v>45906</v>
      </c>
      <c r="C10" s="8"/>
      <c r="D10" s="8" t="s">
        <v>27</v>
      </c>
      <c r="E10" s="8" t="s">
        <v>27</v>
      </c>
      <c r="F10" s="8" t="s">
        <v>27</v>
      </c>
      <c r="G10" s="8" t="s">
        <v>27</v>
      </c>
      <c r="H10" s="8"/>
      <c r="I10" s="8"/>
      <c r="J10" s="43">
        <f t="shared" si="0"/>
        <v>30900</v>
      </c>
      <c r="K10" s="40">
        <v>30000</v>
      </c>
      <c r="L10" s="40">
        <v>400</v>
      </c>
      <c r="M10" s="40">
        <v>500</v>
      </c>
      <c r="N10" s="8"/>
      <c r="O10" s="8" t="s">
        <v>27</v>
      </c>
      <c r="P10" s="14"/>
      <c r="Q10" s="38">
        <v>45906</v>
      </c>
      <c r="R10" s="39" t="s">
        <v>34</v>
      </c>
      <c r="S10" s="40">
        <v>30000</v>
      </c>
      <c r="T10" s="40">
        <v>30000</v>
      </c>
      <c r="U10" s="8"/>
      <c r="V10" s="8" t="s">
        <v>27</v>
      </c>
      <c r="W10" s="8"/>
      <c r="X10" s="1">
        <f t="shared" si="1"/>
        <v>7</v>
      </c>
      <c r="Y10" s="1">
        <v>7</v>
      </c>
      <c r="Z10" s="42">
        <f t="shared" si="2"/>
        <v>4285.7142857142853</v>
      </c>
    </row>
    <row r="11" spans="1:26">
      <c r="A11" s="6" t="s">
        <v>26</v>
      </c>
      <c r="B11" s="7">
        <v>45907</v>
      </c>
      <c r="C11" s="8"/>
      <c r="D11" s="8" t="s">
        <v>27</v>
      </c>
      <c r="E11" s="8" t="s">
        <v>27</v>
      </c>
      <c r="F11" s="8" t="s">
        <v>27</v>
      </c>
      <c r="G11" s="8" t="s">
        <v>27</v>
      </c>
      <c r="H11" s="8"/>
      <c r="I11" s="14"/>
      <c r="J11" s="43">
        <f t="shared" si="0"/>
        <v>30400</v>
      </c>
      <c r="K11" s="40">
        <v>30000</v>
      </c>
      <c r="L11" s="40">
        <v>400</v>
      </c>
      <c r="M11" s="40"/>
      <c r="N11" s="8"/>
      <c r="O11" s="8" t="s">
        <v>27</v>
      </c>
      <c r="P11" s="14"/>
      <c r="Q11" s="38">
        <v>45907</v>
      </c>
      <c r="R11" s="39" t="s">
        <v>35</v>
      </c>
      <c r="S11" s="40">
        <v>30000</v>
      </c>
      <c r="T11" s="40">
        <v>30000</v>
      </c>
      <c r="U11" s="8"/>
      <c r="V11" s="8" t="s">
        <v>27</v>
      </c>
      <c r="W11" s="8"/>
      <c r="X11" s="1">
        <f t="shared" si="1"/>
        <v>7</v>
      </c>
      <c r="Y11" s="1">
        <v>7</v>
      </c>
      <c r="Z11" s="42">
        <f t="shared" si="2"/>
        <v>4285.7142857142853</v>
      </c>
    </row>
    <row r="12" spans="1:26">
      <c r="A12" s="6" t="s">
        <v>26</v>
      </c>
      <c r="B12" s="7">
        <v>45908</v>
      </c>
      <c r="C12" s="8"/>
      <c r="D12" s="8"/>
      <c r="E12" s="8"/>
      <c r="F12" s="8"/>
      <c r="G12" s="8"/>
      <c r="H12" s="8"/>
      <c r="I12" s="8"/>
      <c r="J12" s="43">
        <f t="shared" si="0"/>
        <v>0</v>
      </c>
      <c r="K12" s="40"/>
      <c r="L12" s="40"/>
      <c r="M12" s="40"/>
      <c r="N12" s="8"/>
      <c r="O12" s="8"/>
      <c r="P12" s="14"/>
      <c r="Q12" s="38">
        <v>45908</v>
      </c>
      <c r="R12" s="39" t="s">
        <v>29</v>
      </c>
      <c r="S12" s="40"/>
      <c r="T12" s="40"/>
      <c r="U12" s="8"/>
      <c r="V12" s="8"/>
      <c r="W12" s="8"/>
      <c r="X12" s="1">
        <f t="shared" si="1"/>
        <v>0</v>
      </c>
    </row>
    <row r="13" spans="1:26">
      <c r="A13" s="6" t="s">
        <v>26</v>
      </c>
      <c r="B13" s="7">
        <v>45909</v>
      </c>
      <c r="C13" s="8" t="s">
        <v>27</v>
      </c>
      <c r="D13" s="8" t="s">
        <v>27</v>
      </c>
      <c r="E13" s="8" t="s">
        <v>27</v>
      </c>
      <c r="F13" s="8" t="s">
        <v>27</v>
      </c>
      <c r="G13" s="8" t="s">
        <v>27</v>
      </c>
      <c r="H13" s="8"/>
      <c r="I13" s="8"/>
      <c r="J13" s="43">
        <f t="shared" si="0"/>
        <v>26400</v>
      </c>
      <c r="K13" s="40">
        <v>26000</v>
      </c>
      <c r="L13" s="40">
        <v>400</v>
      </c>
      <c r="M13" s="40"/>
      <c r="N13" s="8"/>
      <c r="O13" s="8" t="s">
        <v>27</v>
      </c>
      <c r="P13" s="14"/>
      <c r="Q13" s="38">
        <v>45909</v>
      </c>
      <c r="R13" s="39" t="s">
        <v>30</v>
      </c>
      <c r="S13" s="40">
        <v>20000</v>
      </c>
      <c r="T13" s="40">
        <v>20000</v>
      </c>
      <c r="U13" s="8"/>
      <c r="V13" s="8" t="s">
        <v>27</v>
      </c>
      <c r="W13" s="8"/>
      <c r="X13" s="1">
        <f t="shared" si="1"/>
        <v>5</v>
      </c>
      <c r="Y13" s="1">
        <v>5</v>
      </c>
      <c r="Z13" s="42">
        <f t="shared" si="2"/>
        <v>4000</v>
      </c>
    </row>
    <row r="14" spans="1:26">
      <c r="A14" s="6" t="s">
        <v>26</v>
      </c>
      <c r="B14" s="7">
        <v>45910</v>
      </c>
      <c r="C14" s="8"/>
      <c r="D14" s="8" t="s">
        <v>27</v>
      </c>
      <c r="E14" s="8" t="s">
        <v>27</v>
      </c>
      <c r="F14" s="8" t="s">
        <v>27</v>
      </c>
      <c r="G14" s="8" t="s">
        <v>27</v>
      </c>
      <c r="H14" s="8"/>
      <c r="I14" s="8"/>
      <c r="J14" s="43">
        <f t="shared" si="0"/>
        <v>26400</v>
      </c>
      <c r="K14" s="40">
        <v>26000</v>
      </c>
      <c r="L14" s="40">
        <v>400</v>
      </c>
      <c r="M14" s="40"/>
      <c r="N14" s="8"/>
      <c r="O14" s="8" t="s">
        <v>27</v>
      </c>
      <c r="P14" s="14"/>
      <c r="Q14" s="38">
        <v>45910</v>
      </c>
      <c r="R14" s="39" t="s">
        <v>31</v>
      </c>
      <c r="S14" s="40">
        <v>20000</v>
      </c>
      <c r="T14" s="40">
        <v>20000</v>
      </c>
      <c r="U14" s="8"/>
      <c r="V14" s="8" t="s">
        <v>27</v>
      </c>
      <c r="W14" s="8"/>
      <c r="X14" s="1">
        <f t="shared" si="1"/>
        <v>6</v>
      </c>
      <c r="Y14" s="1">
        <v>6</v>
      </c>
      <c r="Z14" s="42">
        <f t="shared" si="2"/>
        <v>3333.3333333333335</v>
      </c>
    </row>
    <row r="15" spans="1:26">
      <c r="A15" s="6" t="s">
        <v>26</v>
      </c>
      <c r="B15" s="7">
        <v>45911</v>
      </c>
      <c r="C15" s="8"/>
      <c r="D15" s="8"/>
      <c r="E15" s="8"/>
      <c r="F15" s="8"/>
      <c r="G15" s="8"/>
      <c r="H15" s="8"/>
      <c r="I15" s="8"/>
      <c r="J15" s="43">
        <f t="shared" si="0"/>
        <v>0</v>
      </c>
      <c r="K15" s="40"/>
      <c r="L15" s="40"/>
      <c r="M15" s="40"/>
      <c r="N15" s="8"/>
      <c r="O15" s="8"/>
      <c r="P15" s="14"/>
      <c r="Q15" s="38">
        <v>45911</v>
      </c>
      <c r="R15" s="39" t="s">
        <v>32</v>
      </c>
      <c r="S15" s="40"/>
      <c r="T15" s="40"/>
      <c r="U15" s="8"/>
      <c r="V15" s="8"/>
      <c r="W15" s="8"/>
      <c r="X15" s="1">
        <f t="shared" si="1"/>
        <v>0</v>
      </c>
    </row>
    <row r="16" spans="1:26">
      <c r="A16" s="6" t="s">
        <v>26</v>
      </c>
      <c r="B16" s="7">
        <v>45912</v>
      </c>
      <c r="C16" s="8"/>
      <c r="D16" s="8" t="s">
        <v>27</v>
      </c>
      <c r="E16" s="8" t="s">
        <v>27</v>
      </c>
      <c r="F16" s="8" t="s">
        <v>27</v>
      </c>
      <c r="G16" s="8" t="s">
        <v>27</v>
      </c>
      <c r="H16" s="8"/>
      <c r="I16" s="8"/>
      <c r="J16" s="43">
        <f t="shared" si="0"/>
        <v>26400</v>
      </c>
      <c r="K16" s="40">
        <v>26000</v>
      </c>
      <c r="L16" s="40">
        <v>400</v>
      </c>
      <c r="M16" s="40"/>
      <c r="N16" s="8"/>
      <c r="O16" s="8" t="s">
        <v>27</v>
      </c>
      <c r="P16" s="14"/>
      <c r="Q16" s="38">
        <v>45912</v>
      </c>
      <c r="R16" s="39" t="s">
        <v>33</v>
      </c>
      <c r="S16" s="40">
        <v>20000</v>
      </c>
      <c r="T16" s="40">
        <v>20000</v>
      </c>
      <c r="U16" s="8"/>
      <c r="V16" s="8" t="s">
        <v>27</v>
      </c>
      <c r="W16" s="8"/>
      <c r="X16" s="1">
        <f t="shared" si="1"/>
        <v>6</v>
      </c>
      <c r="Y16" s="1">
        <v>6</v>
      </c>
      <c r="Z16" s="42">
        <f t="shared" si="2"/>
        <v>3333.3333333333335</v>
      </c>
    </row>
    <row r="17" spans="1:26">
      <c r="A17" s="6" t="s">
        <v>26</v>
      </c>
      <c r="B17" s="7">
        <v>45913</v>
      </c>
      <c r="C17" s="8"/>
      <c r="D17" s="8" t="s">
        <v>27</v>
      </c>
      <c r="E17" s="8" t="s">
        <v>27</v>
      </c>
      <c r="F17" s="8" t="s">
        <v>27</v>
      </c>
      <c r="G17" s="8" t="s">
        <v>27</v>
      </c>
      <c r="H17" s="8"/>
      <c r="I17" s="8"/>
      <c r="J17" s="43">
        <f t="shared" si="0"/>
        <v>30900</v>
      </c>
      <c r="K17" s="40">
        <v>30000</v>
      </c>
      <c r="L17" s="40">
        <v>400</v>
      </c>
      <c r="M17" s="40">
        <v>500</v>
      </c>
      <c r="N17" s="8"/>
      <c r="O17" s="8" t="s">
        <v>27</v>
      </c>
      <c r="P17" s="14"/>
      <c r="Q17" s="38">
        <v>45913</v>
      </c>
      <c r="R17" s="39" t="s">
        <v>34</v>
      </c>
      <c r="S17" s="40">
        <v>30000</v>
      </c>
      <c r="T17" s="40">
        <v>30000</v>
      </c>
      <c r="U17" s="8"/>
      <c r="V17" s="8" t="s">
        <v>27</v>
      </c>
      <c r="W17" s="8"/>
      <c r="X17" s="1">
        <f t="shared" si="1"/>
        <v>7</v>
      </c>
      <c r="Y17" s="1">
        <v>7</v>
      </c>
      <c r="Z17" s="42">
        <f t="shared" si="2"/>
        <v>4285.7142857142853</v>
      </c>
    </row>
    <row r="18" spans="1:26">
      <c r="A18" s="6" t="s">
        <v>26</v>
      </c>
      <c r="B18" s="7">
        <v>45914</v>
      </c>
      <c r="C18" s="8"/>
      <c r="D18" s="8" t="s">
        <v>27</v>
      </c>
      <c r="E18" s="8" t="s">
        <v>27</v>
      </c>
      <c r="F18" s="8" t="s">
        <v>27</v>
      </c>
      <c r="G18" s="8" t="s">
        <v>27</v>
      </c>
      <c r="H18" s="8"/>
      <c r="I18" s="8"/>
      <c r="J18" s="43">
        <f t="shared" si="0"/>
        <v>30400</v>
      </c>
      <c r="K18" s="40">
        <v>30000</v>
      </c>
      <c r="L18" s="40">
        <v>400</v>
      </c>
      <c r="M18" s="40"/>
      <c r="N18" s="8"/>
      <c r="O18" s="8" t="s">
        <v>27</v>
      </c>
      <c r="P18" s="14"/>
      <c r="Q18" s="38">
        <v>45914</v>
      </c>
      <c r="R18" s="39" t="s">
        <v>35</v>
      </c>
      <c r="S18" s="40">
        <v>30000</v>
      </c>
      <c r="T18" s="40">
        <v>30000</v>
      </c>
      <c r="U18" s="8"/>
      <c r="V18" s="8" t="s">
        <v>27</v>
      </c>
      <c r="W18" s="8"/>
      <c r="X18" s="1">
        <f t="shared" si="1"/>
        <v>7</v>
      </c>
      <c r="Y18" s="1">
        <v>7</v>
      </c>
      <c r="Z18" s="42">
        <f t="shared" si="2"/>
        <v>4285.7142857142853</v>
      </c>
    </row>
    <row r="19" spans="1:26">
      <c r="A19" s="6" t="s">
        <v>26</v>
      </c>
      <c r="B19" s="7">
        <v>45915</v>
      </c>
      <c r="C19" s="8"/>
      <c r="D19" s="8"/>
      <c r="E19" s="8"/>
      <c r="F19" s="8"/>
      <c r="G19" s="8"/>
      <c r="H19" s="8"/>
      <c r="I19" s="8"/>
      <c r="J19" s="43">
        <f t="shared" si="0"/>
        <v>0</v>
      </c>
      <c r="K19" s="40"/>
      <c r="L19" s="40"/>
      <c r="M19" s="40"/>
      <c r="N19" s="8"/>
      <c r="O19" s="8"/>
      <c r="P19" s="14"/>
      <c r="Q19" s="38">
        <v>45915</v>
      </c>
      <c r="R19" s="39" t="s">
        <v>29</v>
      </c>
      <c r="S19" s="40"/>
      <c r="T19" s="40"/>
      <c r="U19" s="8"/>
      <c r="V19" s="8"/>
      <c r="W19" s="8"/>
      <c r="X19" s="1">
        <f t="shared" si="1"/>
        <v>0</v>
      </c>
    </row>
    <row r="20" spans="1:26">
      <c r="A20" s="6" t="s">
        <v>26</v>
      </c>
      <c r="B20" s="7">
        <v>45916</v>
      </c>
      <c r="C20" s="8" t="s">
        <v>27</v>
      </c>
      <c r="D20" s="8" t="s">
        <v>27</v>
      </c>
      <c r="E20" s="8" t="s">
        <v>27</v>
      </c>
      <c r="F20" s="8" t="s">
        <v>27</v>
      </c>
      <c r="G20" s="8" t="s">
        <v>27</v>
      </c>
      <c r="H20" s="8"/>
      <c r="I20" s="8"/>
      <c r="J20" s="43">
        <f t="shared" si="0"/>
        <v>26400</v>
      </c>
      <c r="K20" s="40">
        <v>26000</v>
      </c>
      <c r="L20" s="40">
        <v>400</v>
      </c>
      <c r="M20" s="40"/>
      <c r="N20" s="8"/>
      <c r="O20" s="8" t="s">
        <v>27</v>
      </c>
      <c r="P20" s="14"/>
      <c r="Q20" s="38">
        <v>45916</v>
      </c>
      <c r="R20" s="39" t="s">
        <v>30</v>
      </c>
      <c r="S20" s="40">
        <v>20000</v>
      </c>
      <c r="T20" s="40">
        <v>20000</v>
      </c>
      <c r="U20" s="8"/>
      <c r="V20" s="8" t="s">
        <v>27</v>
      </c>
      <c r="W20" s="8"/>
      <c r="X20" s="1">
        <f t="shared" si="1"/>
        <v>5</v>
      </c>
      <c r="Y20" s="1">
        <v>5</v>
      </c>
      <c r="Z20" s="42">
        <f t="shared" si="2"/>
        <v>4000</v>
      </c>
    </row>
    <row r="21" spans="1:26">
      <c r="A21" s="6" t="s">
        <v>26</v>
      </c>
      <c r="B21" s="7">
        <v>45917</v>
      </c>
      <c r="C21" s="8"/>
      <c r="D21" s="8" t="s">
        <v>27</v>
      </c>
      <c r="E21" s="8" t="s">
        <v>27</v>
      </c>
      <c r="F21" s="8" t="s">
        <v>27</v>
      </c>
      <c r="G21" s="8" t="s">
        <v>27</v>
      </c>
      <c r="H21" s="8"/>
      <c r="I21" s="8"/>
      <c r="J21" s="43">
        <f t="shared" si="0"/>
        <v>26400</v>
      </c>
      <c r="K21" s="40">
        <v>26000</v>
      </c>
      <c r="L21" s="40">
        <v>400</v>
      </c>
      <c r="M21" s="40"/>
      <c r="N21" s="8"/>
      <c r="O21" s="8" t="s">
        <v>27</v>
      </c>
      <c r="P21" s="14"/>
      <c r="Q21" s="38">
        <v>45917</v>
      </c>
      <c r="R21" s="39" t="s">
        <v>31</v>
      </c>
      <c r="S21" s="40">
        <v>20000</v>
      </c>
      <c r="T21" s="40">
        <v>20000</v>
      </c>
      <c r="U21" s="8"/>
      <c r="V21" s="8" t="s">
        <v>27</v>
      </c>
      <c r="W21" s="8"/>
      <c r="X21" s="1">
        <f t="shared" si="1"/>
        <v>6</v>
      </c>
      <c r="Y21" s="1">
        <v>6</v>
      </c>
      <c r="Z21" s="42">
        <f t="shared" si="2"/>
        <v>3333.3333333333335</v>
      </c>
    </row>
    <row r="22" spans="1:26">
      <c r="A22" s="6" t="s">
        <v>26</v>
      </c>
      <c r="B22" s="7">
        <v>45918</v>
      </c>
      <c r="C22" s="8"/>
      <c r="D22" s="8"/>
      <c r="E22" s="8"/>
      <c r="F22" s="8"/>
      <c r="G22" s="8"/>
      <c r="H22" s="8"/>
      <c r="I22" s="8"/>
      <c r="J22" s="43">
        <f t="shared" si="0"/>
        <v>0</v>
      </c>
      <c r="K22" s="40"/>
      <c r="L22" s="40"/>
      <c r="M22" s="40"/>
      <c r="N22" s="8"/>
      <c r="O22" s="8"/>
      <c r="P22" s="14"/>
      <c r="Q22" s="38">
        <v>45918</v>
      </c>
      <c r="R22" s="39" t="s">
        <v>32</v>
      </c>
      <c r="S22" s="40"/>
      <c r="T22" s="40"/>
      <c r="U22" s="8"/>
      <c r="V22" s="8"/>
      <c r="W22" s="8"/>
      <c r="X22" s="1">
        <f t="shared" si="1"/>
        <v>0</v>
      </c>
    </row>
    <row r="23" spans="1:26">
      <c r="A23" s="6" t="s">
        <v>26</v>
      </c>
      <c r="B23" s="7">
        <v>45919</v>
      </c>
      <c r="C23" s="8"/>
      <c r="D23" s="8" t="s">
        <v>27</v>
      </c>
      <c r="E23" s="8" t="s">
        <v>27</v>
      </c>
      <c r="F23" s="8" t="s">
        <v>27</v>
      </c>
      <c r="G23" s="8" t="s">
        <v>27</v>
      </c>
      <c r="H23" s="8"/>
      <c r="J23" s="43">
        <f t="shared" si="0"/>
        <v>26400</v>
      </c>
      <c r="K23" s="40">
        <v>26000</v>
      </c>
      <c r="L23" s="40">
        <v>400</v>
      </c>
      <c r="M23" s="40"/>
      <c r="N23" s="8"/>
      <c r="O23" s="8" t="s">
        <v>27</v>
      </c>
      <c r="P23" s="14"/>
      <c r="Q23" s="38">
        <v>45919</v>
      </c>
      <c r="R23" s="39" t="s">
        <v>33</v>
      </c>
      <c r="S23" s="40">
        <v>20000</v>
      </c>
      <c r="T23" s="40">
        <v>20000</v>
      </c>
      <c r="U23" s="8"/>
      <c r="V23" s="8" t="s">
        <v>27</v>
      </c>
      <c r="W23" s="8"/>
      <c r="X23" s="1">
        <f t="shared" si="1"/>
        <v>6</v>
      </c>
      <c r="Y23" s="1">
        <v>6</v>
      </c>
      <c r="Z23" s="42">
        <f t="shared" si="2"/>
        <v>3333.3333333333335</v>
      </c>
    </row>
    <row r="24" spans="1:26">
      <c r="A24" s="6" t="s">
        <v>26</v>
      </c>
      <c r="B24" s="7">
        <v>45920</v>
      </c>
      <c r="C24" s="8"/>
      <c r="D24" s="8" t="s">
        <v>27</v>
      </c>
      <c r="E24" s="8" t="s">
        <v>27</v>
      </c>
      <c r="F24" s="8" t="s">
        <v>27</v>
      </c>
      <c r="G24" s="8" t="s">
        <v>27</v>
      </c>
      <c r="H24" s="8"/>
      <c r="I24" s="8"/>
      <c r="J24" s="43">
        <f t="shared" si="0"/>
        <v>30900</v>
      </c>
      <c r="K24" s="40">
        <v>30000</v>
      </c>
      <c r="L24" s="40">
        <v>400</v>
      </c>
      <c r="M24" s="40">
        <v>500</v>
      </c>
      <c r="N24" s="8"/>
      <c r="O24" s="8" t="s">
        <v>27</v>
      </c>
      <c r="P24" s="14"/>
      <c r="Q24" s="38">
        <v>45920</v>
      </c>
      <c r="R24" s="39" t="s">
        <v>34</v>
      </c>
      <c r="S24" s="40">
        <v>30000</v>
      </c>
      <c r="T24" s="40">
        <v>30000</v>
      </c>
      <c r="U24" s="8"/>
      <c r="V24" s="8" t="s">
        <v>27</v>
      </c>
      <c r="W24" s="8"/>
      <c r="X24" s="1">
        <f t="shared" si="1"/>
        <v>7</v>
      </c>
      <c r="Y24" s="1">
        <v>7</v>
      </c>
      <c r="Z24" s="42">
        <f t="shared" si="2"/>
        <v>4285.7142857142853</v>
      </c>
    </row>
    <row r="25" spans="1:26">
      <c r="A25" s="6" t="s">
        <v>26</v>
      </c>
      <c r="B25" s="7">
        <v>45921</v>
      </c>
      <c r="C25" s="8"/>
      <c r="D25" s="8" t="s">
        <v>27</v>
      </c>
      <c r="E25" s="8" t="s">
        <v>27</v>
      </c>
      <c r="F25" s="8" t="s">
        <v>27</v>
      </c>
      <c r="G25" s="8" t="s">
        <v>27</v>
      </c>
      <c r="H25" s="8"/>
      <c r="I25" s="8"/>
      <c r="J25" s="43">
        <f t="shared" si="0"/>
        <v>30400</v>
      </c>
      <c r="K25" s="40">
        <v>30000</v>
      </c>
      <c r="L25" s="40">
        <v>400</v>
      </c>
      <c r="M25" s="40"/>
      <c r="N25" s="8"/>
      <c r="O25" s="8" t="s">
        <v>27</v>
      </c>
      <c r="P25" s="14"/>
      <c r="Q25" s="38">
        <v>45921</v>
      </c>
      <c r="R25" s="39" t="s">
        <v>35</v>
      </c>
      <c r="S25" s="40">
        <v>30000</v>
      </c>
      <c r="T25" s="40">
        <v>30000</v>
      </c>
      <c r="U25" s="8"/>
      <c r="V25" s="8" t="s">
        <v>27</v>
      </c>
      <c r="W25" s="8"/>
      <c r="X25" s="1">
        <f t="shared" si="1"/>
        <v>7</v>
      </c>
      <c r="Y25" s="1">
        <v>7</v>
      </c>
      <c r="Z25" s="42">
        <f t="shared" si="2"/>
        <v>4285.7142857142853</v>
      </c>
    </row>
    <row r="26" spans="1:26">
      <c r="A26" s="6" t="s">
        <v>26</v>
      </c>
      <c r="B26" s="7">
        <v>45922</v>
      </c>
      <c r="C26" s="8"/>
      <c r="D26" s="8"/>
      <c r="E26" s="8"/>
      <c r="F26" s="8"/>
      <c r="G26" s="8"/>
      <c r="H26" s="8"/>
      <c r="I26" s="8"/>
      <c r="J26" s="43">
        <f t="shared" si="0"/>
        <v>0</v>
      </c>
      <c r="K26" s="40"/>
      <c r="L26" s="40"/>
      <c r="M26" s="40"/>
      <c r="N26" s="8"/>
      <c r="O26" s="8"/>
      <c r="P26" s="14"/>
      <c r="Q26" s="38">
        <v>45922</v>
      </c>
      <c r="R26" s="39" t="s">
        <v>29</v>
      </c>
      <c r="S26" s="40"/>
      <c r="T26" s="40"/>
      <c r="U26" s="8"/>
      <c r="V26" s="8"/>
      <c r="W26" s="8"/>
      <c r="X26" s="1">
        <f t="shared" si="1"/>
        <v>0</v>
      </c>
    </row>
    <row r="27" spans="1:26">
      <c r="A27" s="6" t="s">
        <v>26</v>
      </c>
      <c r="B27" s="7">
        <v>45923</v>
      </c>
      <c r="C27" s="8" t="s">
        <v>27</v>
      </c>
      <c r="D27" s="8" t="s">
        <v>27</v>
      </c>
      <c r="E27" s="8" t="s">
        <v>27</v>
      </c>
      <c r="F27" s="8" t="s">
        <v>27</v>
      </c>
      <c r="G27" s="8" t="s">
        <v>27</v>
      </c>
      <c r="H27" s="8"/>
      <c r="I27" s="8"/>
      <c r="J27" s="43">
        <f t="shared" si="0"/>
        <v>26400</v>
      </c>
      <c r="K27" s="40">
        <v>26000</v>
      </c>
      <c r="L27" s="40">
        <v>400</v>
      </c>
      <c r="M27" s="40"/>
      <c r="N27" s="8"/>
      <c r="O27" s="8" t="s">
        <v>27</v>
      </c>
      <c r="P27" s="14"/>
      <c r="Q27" s="38">
        <v>45923</v>
      </c>
      <c r="R27" s="39" t="s">
        <v>30</v>
      </c>
      <c r="S27" s="40">
        <v>20000</v>
      </c>
      <c r="T27" s="40">
        <v>20000</v>
      </c>
      <c r="U27" s="8"/>
      <c r="V27" s="8" t="s">
        <v>27</v>
      </c>
      <c r="W27" s="8"/>
      <c r="X27" s="1">
        <f t="shared" si="1"/>
        <v>5</v>
      </c>
      <c r="Y27" s="1">
        <v>5</v>
      </c>
      <c r="Z27" s="42">
        <f t="shared" si="2"/>
        <v>4000</v>
      </c>
    </row>
    <row r="28" spans="1:26">
      <c r="A28" s="6" t="s">
        <v>26</v>
      </c>
      <c r="B28" s="7">
        <v>45924</v>
      </c>
      <c r="C28" s="8"/>
      <c r="D28" s="8" t="s">
        <v>27</v>
      </c>
      <c r="E28" s="8" t="s">
        <v>27</v>
      </c>
      <c r="F28" s="8" t="s">
        <v>27</v>
      </c>
      <c r="G28" s="8" t="s">
        <v>27</v>
      </c>
      <c r="H28" s="8"/>
      <c r="I28" s="8"/>
      <c r="J28" s="43">
        <f t="shared" si="0"/>
        <v>26400</v>
      </c>
      <c r="K28" s="40">
        <v>26000</v>
      </c>
      <c r="L28" s="40">
        <v>400</v>
      </c>
      <c r="M28" s="40"/>
      <c r="N28" s="8"/>
      <c r="O28" s="8" t="s">
        <v>27</v>
      </c>
      <c r="P28" s="14"/>
      <c r="Q28" s="38">
        <v>45924</v>
      </c>
      <c r="R28" s="39" t="s">
        <v>31</v>
      </c>
      <c r="S28" s="40">
        <v>20000</v>
      </c>
      <c r="T28" s="40">
        <v>20000</v>
      </c>
      <c r="U28" s="8"/>
      <c r="V28" s="8" t="s">
        <v>27</v>
      </c>
      <c r="W28" s="8"/>
      <c r="X28" s="1">
        <f t="shared" si="1"/>
        <v>6</v>
      </c>
      <c r="Y28" s="1">
        <v>6</v>
      </c>
      <c r="Z28" s="42">
        <f t="shared" si="2"/>
        <v>3333.3333333333335</v>
      </c>
    </row>
    <row r="29" spans="1:26">
      <c r="A29" s="6" t="s">
        <v>26</v>
      </c>
      <c r="B29" s="7">
        <v>45925</v>
      </c>
      <c r="C29" s="8"/>
      <c r="D29" s="8"/>
      <c r="E29" s="8"/>
      <c r="F29" s="8"/>
      <c r="G29" s="8"/>
      <c r="H29" s="8"/>
      <c r="I29" s="8"/>
      <c r="J29" s="43">
        <f t="shared" si="0"/>
        <v>0</v>
      </c>
      <c r="K29" s="40"/>
      <c r="L29" s="40"/>
      <c r="M29" s="40"/>
      <c r="N29" s="8"/>
      <c r="O29" s="8"/>
      <c r="P29" s="14"/>
      <c r="Q29" s="38">
        <v>45925</v>
      </c>
      <c r="R29" s="39" t="s">
        <v>32</v>
      </c>
      <c r="S29" s="40"/>
      <c r="T29" s="40"/>
      <c r="U29" s="8"/>
      <c r="V29" s="8"/>
      <c r="W29" s="8"/>
      <c r="X29" s="1">
        <f t="shared" si="1"/>
        <v>0</v>
      </c>
    </row>
    <row r="30" spans="1:26" s="2" customFormat="1">
      <c r="A30" s="9" t="s">
        <v>26</v>
      </c>
      <c r="B30" s="10">
        <v>45926</v>
      </c>
      <c r="C30" s="11" t="s">
        <v>27</v>
      </c>
      <c r="D30" s="11" t="s">
        <v>27</v>
      </c>
      <c r="E30" s="11" t="s">
        <v>27</v>
      </c>
      <c r="F30" s="11" t="s">
        <v>27</v>
      </c>
      <c r="G30" s="11" t="s">
        <v>27</v>
      </c>
      <c r="H30" s="11" t="s">
        <v>27</v>
      </c>
      <c r="I30" s="11"/>
      <c r="J30" s="44">
        <f t="shared" si="0"/>
        <v>138000</v>
      </c>
      <c r="K30" s="41">
        <v>135000</v>
      </c>
      <c r="L30" s="41">
        <v>2000</v>
      </c>
      <c r="M30" s="41">
        <v>1000</v>
      </c>
      <c r="N30" s="11" t="s">
        <v>27</v>
      </c>
      <c r="O30" s="11" t="s">
        <v>27</v>
      </c>
      <c r="P30" s="15"/>
      <c r="Q30" s="38">
        <v>45926</v>
      </c>
      <c r="R30" s="39" t="s">
        <v>33</v>
      </c>
      <c r="S30" s="41">
        <v>120000</v>
      </c>
      <c r="T30" s="41">
        <v>120000</v>
      </c>
      <c r="U30" s="11" t="s">
        <v>27</v>
      </c>
      <c r="V30" s="11" t="s">
        <v>27</v>
      </c>
      <c r="W30" s="11"/>
      <c r="X30" s="2">
        <f t="shared" si="1"/>
        <v>13</v>
      </c>
      <c r="Y30" s="2">
        <v>13</v>
      </c>
      <c r="Z30" s="47">
        <f t="shared" si="2"/>
        <v>9230.7692307692305</v>
      </c>
    </row>
    <row r="31" spans="1:26">
      <c r="A31" s="6" t="s">
        <v>26</v>
      </c>
      <c r="B31" s="7">
        <v>45927</v>
      </c>
      <c r="C31" s="8"/>
      <c r="D31" s="8" t="s">
        <v>27</v>
      </c>
      <c r="E31" s="8" t="s">
        <v>27</v>
      </c>
      <c r="F31" s="8" t="s">
        <v>27</v>
      </c>
      <c r="G31" s="8" t="s">
        <v>27</v>
      </c>
      <c r="H31" s="8"/>
      <c r="I31" s="8"/>
      <c r="J31" s="43">
        <f t="shared" si="0"/>
        <v>30900</v>
      </c>
      <c r="K31" s="40">
        <v>30000</v>
      </c>
      <c r="L31" s="40">
        <v>400</v>
      </c>
      <c r="M31" s="40">
        <v>500</v>
      </c>
      <c r="N31" s="8"/>
      <c r="O31" s="8" t="s">
        <v>27</v>
      </c>
      <c r="P31" s="14"/>
      <c r="Q31" s="38">
        <v>45927</v>
      </c>
      <c r="R31" s="39" t="s">
        <v>34</v>
      </c>
      <c r="S31" s="40">
        <v>30000</v>
      </c>
      <c r="T31" s="40">
        <v>30000</v>
      </c>
      <c r="U31" s="8"/>
      <c r="V31" s="8" t="s">
        <v>27</v>
      </c>
      <c r="W31" s="8"/>
      <c r="X31" s="1">
        <f t="shared" si="1"/>
        <v>7</v>
      </c>
      <c r="Y31" s="1">
        <v>7</v>
      </c>
      <c r="Z31" s="42">
        <f t="shared" si="2"/>
        <v>4285.7142857142853</v>
      </c>
    </row>
    <row r="32" spans="1:26">
      <c r="A32" s="6" t="s">
        <v>26</v>
      </c>
      <c r="B32" s="7">
        <v>45928</v>
      </c>
      <c r="C32" s="8"/>
      <c r="D32" s="8" t="s">
        <v>27</v>
      </c>
      <c r="E32" s="8" t="s">
        <v>27</v>
      </c>
      <c r="F32" s="8" t="s">
        <v>27</v>
      </c>
      <c r="G32" s="8" t="s">
        <v>27</v>
      </c>
      <c r="H32" s="8"/>
      <c r="I32" s="8"/>
      <c r="J32" s="43">
        <f t="shared" si="0"/>
        <v>30400</v>
      </c>
      <c r="K32" s="40">
        <v>30000</v>
      </c>
      <c r="L32" s="40">
        <v>400</v>
      </c>
      <c r="M32" s="40"/>
      <c r="N32" s="8"/>
      <c r="O32" s="8" t="s">
        <v>27</v>
      </c>
      <c r="P32" s="14"/>
      <c r="Q32" s="38">
        <v>45928</v>
      </c>
      <c r="R32" s="39" t="s">
        <v>35</v>
      </c>
      <c r="S32" s="40">
        <v>30000</v>
      </c>
      <c r="T32" s="40">
        <v>30000</v>
      </c>
      <c r="U32" s="8"/>
      <c r="V32" s="8" t="s">
        <v>27</v>
      </c>
      <c r="W32" s="8"/>
      <c r="X32" s="1">
        <f t="shared" si="1"/>
        <v>7</v>
      </c>
      <c r="Y32" s="1">
        <v>7</v>
      </c>
      <c r="Z32" s="42">
        <f t="shared" si="2"/>
        <v>4285.7142857142853</v>
      </c>
    </row>
    <row r="33" spans="1:26">
      <c r="A33" s="6" t="s">
        <v>26</v>
      </c>
      <c r="B33" s="7">
        <v>45929</v>
      </c>
      <c r="C33" s="8"/>
      <c r="D33" s="8"/>
      <c r="E33" s="8"/>
      <c r="F33" s="8"/>
      <c r="G33" s="8"/>
      <c r="H33" s="8"/>
      <c r="I33" s="8"/>
      <c r="J33" s="43">
        <f t="shared" si="0"/>
        <v>0</v>
      </c>
      <c r="K33" s="40"/>
      <c r="L33" s="40"/>
      <c r="M33" s="40"/>
      <c r="N33" s="8"/>
      <c r="O33" s="8"/>
      <c r="P33" s="14"/>
      <c r="Q33" s="38">
        <v>45929</v>
      </c>
      <c r="R33" s="39" t="s">
        <v>29</v>
      </c>
      <c r="S33" s="40"/>
      <c r="T33" s="40"/>
      <c r="U33" s="8"/>
      <c r="V33" s="8"/>
      <c r="W33" s="8"/>
      <c r="X33" s="1">
        <f t="shared" si="1"/>
        <v>0</v>
      </c>
    </row>
    <row r="34" spans="1:26">
      <c r="A34" s="6" t="s">
        <v>26</v>
      </c>
      <c r="B34" s="7">
        <v>45930</v>
      </c>
      <c r="C34" s="8" t="s">
        <v>27</v>
      </c>
      <c r="D34" s="8" t="s">
        <v>27</v>
      </c>
      <c r="E34" s="8" t="s">
        <v>27</v>
      </c>
      <c r="F34" s="8" t="s">
        <v>27</v>
      </c>
      <c r="G34" s="8" t="s">
        <v>27</v>
      </c>
      <c r="H34" s="8"/>
      <c r="I34" s="8"/>
      <c r="J34" s="43">
        <f t="shared" si="0"/>
        <v>26400</v>
      </c>
      <c r="K34" s="40">
        <v>26000</v>
      </c>
      <c r="L34" s="40">
        <v>400</v>
      </c>
      <c r="M34" s="40"/>
      <c r="N34" s="8"/>
      <c r="O34" s="8" t="s">
        <v>27</v>
      </c>
      <c r="P34" s="14"/>
      <c r="Q34" s="38">
        <v>45930</v>
      </c>
      <c r="R34" s="39" t="s">
        <v>30</v>
      </c>
      <c r="S34" s="40">
        <v>20000</v>
      </c>
      <c r="T34" s="40">
        <v>20000</v>
      </c>
      <c r="U34" s="8"/>
      <c r="V34" s="8" t="s">
        <v>27</v>
      </c>
      <c r="W34" s="8"/>
      <c r="X34" s="1">
        <f t="shared" si="1"/>
        <v>5</v>
      </c>
      <c r="Y34" s="1">
        <v>5</v>
      </c>
      <c r="Z34" s="42">
        <f t="shared" si="2"/>
        <v>4000</v>
      </c>
    </row>
    <row r="35" spans="1:26">
      <c r="A35" s="1" t="s">
        <v>28</v>
      </c>
      <c r="J35" s="42">
        <f>SUM(J5:J34)</f>
        <v>700000</v>
      </c>
      <c r="K35" s="42">
        <f>SUM(K5:K34)</f>
        <v>687000</v>
      </c>
      <c r="L35" s="42">
        <f>SUM(L5:L34)</f>
        <v>10000</v>
      </c>
      <c r="M35" s="42">
        <f>SUM(M5:M34)</f>
        <v>3000</v>
      </c>
      <c r="S35" s="42">
        <f>SUM(S5:S34)</f>
        <v>600000</v>
      </c>
      <c r="T35" s="42">
        <f>SUM(T5:T34)</f>
        <v>600000</v>
      </c>
      <c r="X35" s="42">
        <f>SUM(X5:X34)</f>
        <v>136</v>
      </c>
      <c r="Z35" s="42">
        <f t="shared" si="2"/>
        <v>4411.7647058823532</v>
      </c>
    </row>
    <row r="36" spans="1:26">
      <c r="T36" s="16"/>
      <c r="U36" s="16"/>
    </row>
    <row r="37" spans="1:26">
      <c r="T37" s="16"/>
      <c r="U37" s="16"/>
    </row>
    <row r="38" spans="1:26">
      <c r="K38" s="16"/>
      <c r="L38" s="16"/>
      <c r="M38" s="16"/>
      <c r="T38" s="16"/>
      <c r="U38" s="16"/>
    </row>
    <row r="39" spans="1:26">
      <c r="T39" s="16"/>
      <c r="U39" s="16"/>
    </row>
  </sheetData>
  <mergeCells count="15">
    <mergeCell ref="A2:A4"/>
    <mergeCell ref="B2:B4"/>
    <mergeCell ref="C3:C4"/>
    <mergeCell ref="H3:H4"/>
    <mergeCell ref="I3:I4"/>
    <mergeCell ref="C2:I2"/>
    <mergeCell ref="J2:P2"/>
    <mergeCell ref="S2:W2"/>
    <mergeCell ref="E3:F3"/>
    <mergeCell ref="L3:M3"/>
    <mergeCell ref="N3:P3"/>
    <mergeCell ref="U3:W3"/>
    <mergeCell ref="J3:J4"/>
    <mergeCell ref="S3:S4"/>
    <mergeCell ref="Q2:Q4"/>
  </mergeCells>
  <phoneticPr fontId="6" type="noConversion"/>
  <pageMargins left="0.75" right="0.75" top="1" bottom="1" header="0.5" footer="0.5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ZHOU Joey</cp:lastModifiedBy>
  <dcterms:created xsi:type="dcterms:W3CDTF">2025-06-24T16:53:00Z</dcterms:created>
  <dcterms:modified xsi:type="dcterms:W3CDTF">2025-08-29T13:12:54Z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596DE408FE27447C8D5A5670171CED12_13</vt:lpwstr>
  </property>
  <property fmtid="{D5CDD505-2E9C-101B-9397-08002B2CF9AE}" pid="3" name="KSOProductBuildVer">
    <vt:lpwstr>2052-12.1.0.22215</vt:lpwstr>
  </property>
  <property fmtid="{D5CDD505-2E9C-101B-9397-08002B2CF9AE}" pid="4" name="MSIP_Label_f43b7177-c66c-4b22-a350-7ee86f9a1e74_Enabled">
    <vt:lpwstr>true</vt:lpwstr>
  </property>
  <property fmtid="{D5CDD505-2E9C-101B-9397-08002B2CF9AE}" pid="5" name="MSIP_Label_f43b7177-c66c-4b22-a350-7ee86f9a1e74_SetDate">
    <vt:lpwstr>2025-08-29T13:12:39Z</vt:lpwstr>
  </property>
  <property fmtid="{D5CDD505-2E9C-101B-9397-08002B2CF9AE}" pid="6" name="MSIP_Label_f43b7177-c66c-4b22-a350-7ee86f9a1e74_Method">
    <vt:lpwstr>Standard</vt:lpwstr>
  </property>
  <property fmtid="{D5CDD505-2E9C-101B-9397-08002B2CF9AE}" pid="7" name="MSIP_Label_f43b7177-c66c-4b22-a350-7ee86f9a1e74_Name">
    <vt:lpwstr>C1_Internal use</vt:lpwstr>
  </property>
  <property fmtid="{D5CDD505-2E9C-101B-9397-08002B2CF9AE}" pid="8" name="MSIP_Label_f43b7177-c66c-4b22-a350-7ee86f9a1e74_SiteId">
    <vt:lpwstr>e4e1abd9-eac7-4a71-ab52-da5c998aa7ba</vt:lpwstr>
  </property>
  <property fmtid="{D5CDD505-2E9C-101B-9397-08002B2CF9AE}" pid="9" name="MSIP_Label_f43b7177-c66c-4b22-a350-7ee86f9a1e74_ActionId">
    <vt:lpwstr>35b7f6a8-2dcb-4e05-98a4-912c19d8d360</vt:lpwstr>
  </property>
  <property fmtid="{D5CDD505-2E9C-101B-9397-08002B2CF9AE}" pid="10" name="MSIP_Label_f43b7177-c66c-4b22-a350-7ee86f9a1e74_ContentBits">
    <vt:lpwstr>2</vt:lpwstr>
  </property>
</Properties>
</file>