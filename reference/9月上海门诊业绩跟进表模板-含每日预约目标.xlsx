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F0EF25B3-737E-4581-B2FF-999C93DC06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5" i="1" l="1"/>
  <c r="AK35" i="1"/>
  <c r="AL35" i="1"/>
  <c r="AI7" i="1"/>
  <c r="AM7" i="1" s="1"/>
  <c r="AI8" i="1"/>
  <c r="AI9" i="1"/>
  <c r="AM9" i="1" s="1"/>
  <c r="AI10" i="1"/>
  <c r="AM10" i="1" s="1"/>
  <c r="AI11" i="1"/>
  <c r="AM11" i="1" s="1"/>
  <c r="AI12" i="1"/>
  <c r="AM12" i="1" s="1"/>
  <c r="AI13" i="1"/>
  <c r="AM13" i="1" s="1"/>
  <c r="AI14" i="1"/>
  <c r="AM14" i="1" s="1"/>
  <c r="AI15" i="1"/>
  <c r="AM15" i="1" s="1"/>
  <c r="AI16" i="1"/>
  <c r="AM16" i="1" s="1"/>
  <c r="AI17" i="1"/>
  <c r="AM17" i="1" s="1"/>
  <c r="AI18" i="1"/>
  <c r="AM18" i="1" s="1"/>
  <c r="AI19" i="1"/>
  <c r="AM19" i="1" s="1"/>
  <c r="AI20" i="1"/>
  <c r="AM20" i="1" s="1"/>
  <c r="AI21" i="1"/>
  <c r="AM21" i="1" s="1"/>
  <c r="AI22" i="1"/>
  <c r="AM22" i="1" s="1"/>
  <c r="AI23" i="1"/>
  <c r="AM23" i="1" s="1"/>
  <c r="AI24" i="1"/>
  <c r="AM24" i="1" s="1"/>
  <c r="AI25" i="1"/>
  <c r="AM25" i="1" s="1"/>
  <c r="AI26" i="1"/>
  <c r="AM26" i="1" s="1"/>
  <c r="AI27" i="1"/>
  <c r="AM27" i="1" s="1"/>
  <c r="AI28" i="1"/>
  <c r="AM28" i="1" s="1"/>
  <c r="AI29" i="1"/>
  <c r="AM29" i="1" s="1"/>
  <c r="AI30" i="1"/>
  <c r="AM30" i="1" s="1"/>
  <c r="AI31" i="1"/>
  <c r="AM31" i="1" s="1"/>
  <c r="AI32" i="1"/>
  <c r="AM32" i="1" s="1"/>
  <c r="AI33" i="1"/>
  <c r="AM33" i="1" s="1"/>
  <c r="AI34" i="1"/>
  <c r="AM34" i="1" s="1"/>
  <c r="AI6" i="1"/>
  <c r="AM6" i="1" s="1"/>
  <c r="AB35" i="1"/>
  <c r="Q35" i="1"/>
  <c r="AI35" i="1" l="1"/>
  <c r="AM8" i="1"/>
  <c r="S35" i="1"/>
  <c r="R35" i="1"/>
  <c r="T35" i="1"/>
  <c r="U35" i="1"/>
  <c r="V35" i="1"/>
  <c r="W35" i="1"/>
  <c r="X35" i="1"/>
  <c r="AC35" i="1"/>
  <c r="AD35" i="1"/>
  <c r="AE35" i="1"/>
  <c r="AF35" i="1"/>
  <c r="Z35" i="1"/>
  <c r="AA35" i="1"/>
  <c r="Y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tc={45618CA3-CA7B-4AB3-B841-E1CD0DA8809F}</author>
  </authors>
  <commentList>
    <comment ref="L8" authorId="0" shapeId="0" xr:uid="{45618CA3-CA7B-4AB3-B841-E1CD0DA8809F}">
      <text>
        <t>[Threaded comment]
Your version of Excel allows you to read this threaded comment; however, any edits to it will get removed if the file is opened in a newer version of Excel. Learn more: https://go.microsoft.com/fwlink/?linkid=870924
Comment:
    高德美会议</t>
      </text>
    </comment>
  </commentList>
</comments>
</file>

<file path=xl/sharedStrings.xml><?xml version="1.0" encoding="utf-8"?>
<sst xmlns="http://schemas.openxmlformats.org/spreadsheetml/2006/main" count="442" uniqueCount="42">
  <si>
    <t>门店</t>
  </si>
  <si>
    <t>日期</t>
  </si>
  <si>
    <t>开单</t>
  </si>
  <si>
    <r>
      <t>消耗目标</t>
    </r>
    <r>
      <rPr>
        <sz val="10"/>
        <color rgb="FFFF0000"/>
        <rFont val="等线"/>
        <family val="3"/>
        <charset val="134"/>
      </rPr>
      <t>（每日：门店目标=健康管理人消耗目标）</t>
    </r>
  </si>
  <si>
    <t>咨询</t>
  </si>
  <si>
    <t>护士</t>
  </si>
  <si>
    <t>客服</t>
  </si>
  <si>
    <t>医生排班</t>
  </si>
  <si>
    <r>
      <rPr>
        <b/>
        <sz val="10"/>
        <color theme="1"/>
        <rFont val="等线"/>
        <family val="3"/>
        <charset val="134"/>
      </rPr>
      <t>健康管理人</t>
    </r>
    <r>
      <rPr>
        <sz val="10"/>
        <color theme="1"/>
        <rFont val="等线"/>
        <family val="3"/>
        <charset val="134"/>
      </rPr>
      <t>（含管理顾客的咨询及护士）</t>
    </r>
  </si>
  <si>
    <t>二</t>
  </si>
  <si>
    <t>三</t>
  </si>
  <si>
    <t>四</t>
  </si>
  <si>
    <t>五</t>
  </si>
  <si>
    <t>六</t>
  </si>
  <si>
    <t>日</t>
  </si>
  <si>
    <t>一</t>
  </si>
  <si>
    <t>韩  菁</t>
  </si>
  <si>
    <t>季燕艺</t>
  </si>
  <si>
    <t>荆  晶</t>
  </si>
  <si>
    <t>杨代</t>
  </si>
  <si>
    <t>胡雨婷</t>
  </si>
  <si>
    <t>李韵</t>
  </si>
  <si>
    <t>宋为民</t>
  </si>
  <si>
    <t>谭博士</t>
  </si>
  <si>
    <t>李乃浩</t>
  </si>
  <si>
    <t>陈颖</t>
  </si>
  <si>
    <t>医生</t>
    <phoneticPr fontId="5" type="noConversion"/>
  </si>
  <si>
    <t>班</t>
  </si>
  <si>
    <t>门店：</t>
    <phoneticPr fontId="5" type="noConversion"/>
  </si>
  <si>
    <t>上海汇银店</t>
    <phoneticPr fontId="5" type="noConversion"/>
  </si>
  <si>
    <t>林雪钦</t>
    <phoneticPr fontId="5" type="noConversion"/>
  </si>
  <si>
    <t>运营经理</t>
    <phoneticPr fontId="5" type="noConversion"/>
  </si>
  <si>
    <t>排班</t>
    <phoneticPr fontId="5" type="noConversion"/>
  </si>
  <si>
    <t>康同同</t>
    <phoneticPr fontId="5" type="noConversion"/>
  </si>
  <si>
    <t>贾梦瑶</t>
    <phoneticPr fontId="5" type="noConversion"/>
  </si>
  <si>
    <t>专家日/专场/沙龙</t>
    <phoneticPr fontId="5" type="noConversion"/>
  </si>
  <si>
    <t>姜代表专场</t>
    <phoneticPr fontId="5" type="noConversion"/>
  </si>
  <si>
    <t>宋院长专场</t>
    <phoneticPr fontId="5" type="noConversion"/>
  </si>
  <si>
    <t>晚班</t>
    <phoneticPr fontId="14" type="noConversion"/>
  </si>
  <si>
    <t>晚班</t>
  </si>
  <si>
    <t>预约目标</t>
    <phoneticPr fontId="5" type="noConversion"/>
  </si>
  <si>
    <t>门店合计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</si>
</sst>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76" formatCode="0_ "/>
    <numFmt numFmtId="177" formatCode="_ * #,##0_ ;_ * \-#,##0_ ;_ * &quot;-&quot;??_ ;_ @_ "/>
  </numFmts>
  <fonts count="17">
    <font>
      <sz val="11"/>
      <color theme="1"/>
      <name val="宋体"/>
      <charset val="134"/>
      <scheme val="minor"/>
    </font>
    <font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sz val="10"/>
      <color rgb="FFFF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0"/>
      <color theme="1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name val="等线"/>
      <family val="3"/>
      <charset val="134"/>
    </font>
    <font>
      <b/>
      <sz val="10"/>
      <name val="等线"/>
      <family val="3"/>
      <charset val="134"/>
    </font>
    <font>
      <sz val="12"/>
      <color rgb="FF000000"/>
      <name val="宋体"/>
      <family val="3"/>
      <charset val="134"/>
    </font>
    <font>
      <b/>
      <sz val="20"/>
      <color theme="1"/>
      <name val="等线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11" xfId="0" applyFont="1" applyFill="1" applyBorder="1">
      <alignment vertical="center"/>
    </xf>
    <xf numFmtId="0" fontId="13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176" fontId="9" fillId="3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  <xf numFmtId="177" fontId="1" fillId="4" borderId="4" xfId="1" applyNumberFormat="1" applyFont="1" applyFill="1" applyBorder="1" applyAlignment="1">
      <alignment horizontal="center" vertical="center"/>
    </xf>
    <xf numFmtId="177" fontId="9" fillId="3" borderId="0" xfId="1" applyNumberFormat="1" applyFont="1" applyFill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7" fontId="9" fillId="0" borderId="4" xfId="1" applyNumberFormat="1" applyFont="1" applyFill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12" fillId="0" borderId="22" xfId="1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7" fontId="12" fillId="0" borderId="21" xfId="1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58" fontId="9" fillId="0" borderId="4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58" fontId="1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177" fontId="12" fillId="0" borderId="0" xfId="1" applyNumberFormat="1" applyFont="1" applyFill="1" applyBorder="1" applyAlignment="1">
      <alignment horizontal="center" vertical="center"/>
    </xf>
    <xf numFmtId="177" fontId="1" fillId="0" borderId="4" xfId="1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77" fontId="16" fillId="0" borderId="21" xfId="1" applyNumberFormat="1" applyFont="1" applyFill="1" applyBorder="1" applyAlignment="1">
      <alignment horizontal="center" vertical="center"/>
    </xf>
    <xf numFmtId="177" fontId="1" fillId="0" borderId="8" xfId="1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77" fontId="16" fillId="4" borderId="21" xfId="1" applyNumberFormat="1" applyFont="1" applyFill="1" applyBorder="1" applyAlignment="1">
      <alignment horizontal="center" vertical="center"/>
    </xf>
    <xf numFmtId="177" fontId="16" fillId="0" borderId="12" xfId="1" applyNumberFormat="1" applyFont="1" applyFill="1" applyBorder="1" applyAlignment="1">
      <alignment horizontal="center" vertical="center"/>
    </xf>
    <xf numFmtId="177" fontId="16" fillId="4" borderId="12" xfId="1" applyNumberFormat="1" applyFont="1" applyFill="1" applyBorder="1" applyAlignment="1">
      <alignment horizontal="center" vertical="center"/>
    </xf>
    <xf numFmtId="177" fontId="1" fillId="4" borderId="0" xfId="1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7" fontId="16" fillId="4" borderId="4" xfId="1" applyNumberFormat="1" applyFont="1" applyFill="1" applyBorder="1" applyAlignment="1">
      <alignment horizontal="center" vertical="center"/>
    </xf>
    <xf numFmtId="177" fontId="16" fillId="0" borderId="4" xfId="1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6" fillId="0" borderId="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7" fontId="2" fillId="4" borderId="4" xfId="1" applyNumberFormat="1" applyFont="1" applyFill="1" applyBorder="1" applyAlignment="1">
      <alignment horizontal="center" vertical="center" wrapText="1"/>
    </xf>
    <xf numFmtId="177" fontId="2" fillId="4" borderId="4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7" fontId="2" fillId="3" borderId="3" xfId="1" applyNumberFormat="1" applyFont="1" applyFill="1" applyBorder="1" applyAlignment="1">
      <alignment horizontal="center" vertical="center" wrapText="1"/>
    </xf>
    <xf numFmtId="177" fontId="2" fillId="3" borderId="3" xfId="1" applyNumberFormat="1" applyFont="1" applyFill="1" applyBorder="1" applyAlignment="1">
      <alignment horizontal="center" vertical="center"/>
    </xf>
    <xf numFmtId="177" fontId="1" fillId="0" borderId="9" xfId="1" applyNumberFormat="1" applyFont="1" applyBorder="1" applyAlignment="1">
      <alignment horizontal="center" vertical="center"/>
    </xf>
    <xf numFmtId="177" fontId="1" fillId="0" borderId="4" xfId="1" applyNumberFormat="1" applyFont="1" applyBorder="1" applyAlignment="1">
      <alignment horizontal="center" vertical="center"/>
    </xf>
    <xf numFmtId="177" fontId="1" fillId="4" borderId="0" xfId="1" applyNumberFormat="1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雪钦 林" id="{E84C5775-49F5-4C0C-9D60-493AD0D4E3F1}" userId="0f83c3c0aa0cc090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8" dT="2025-07-15T08:13:41.10" personId="{E84C5775-49F5-4C0C-9D60-493AD0D4E3F1}" id="{45618CA3-CA7B-4AB3-B841-E1CD0DA8809F}">
    <text>高德美会议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tabSelected="1" zoomScale="55" zoomScaleNormal="55" workbookViewId="0">
      <pane xSplit="1" ySplit="4" topLeftCell="E5" activePane="bottomRight" state="frozen"/>
      <selection pane="topRight"/>
      <selection pane="bottomLeft"/>
      <selection pane="bottomRight" activeCell="AK35" sqref="AK35"/>
    </sheetView>
  </sheetViews>
  <sheetFormatPr defaultColWidth="9.08984375" defaultRowHeight="13"/>
  <cols>
    <col min="1" max="1" width="9.08984375" style="1"/>
    <col min="2" max="2" width="6.6328125" style="1" customWidth="1"/>
    <col min="3" max="15" width="6.90625" style="1" customWidth="1"/>
    <col min="16" max="16" width="13.08984375" style="1" customWidth="1"/>
    <col min="17" max="17" width="12.54296875" style="23" customWidth="1"/>
    <col min="18" max="20" width="10.7265625" style="1" customWidth="1"/>
    <col min="21" max="24" width="8.08984375" style="1" customWidth="1"/>
    <col min="25" max="25" width="11.7265625" style="23" customWidth="1"/>
    <col min="26" max="28" width="9.90625" style="1" customWidth="1"/>
    <col min="29" max="32" width="8.453125" style="1" customWidth="1"/>
    <col min="33" max="33" width="9.08984375" style="1"/>
    <col min="34" max="34" width="6.6328125" style="1" customWidth="1"/>
    <col min="35" max="35" width="8.453125" style="1" customWidth="1"/>
    <col min="36" max="38" width="9.08984375" style="1"/>
    <col min="39" max="39" width="9.08984375" style="23"/>
    <col min="40" max="16384" width="9.08984375" style="1"/>
  </cols>
  <sheetData>
    <row r="1" spans="1:39" ht="35.65" customHeight="1" thickBot="1">
      <c r="A1" s="77" t="s">
        <v>28</v>
      </c>
      <c r="B1" s="77"/>
      <c r="C1" s="12"/>
      <c r="D1" s="19" t="s">
        <v>29</v>
      </c>
      <c r="E1" s="12"/>
      <c r="J1" s="7"/>
      <c r="K1" s="7"/>
      <c r="AG1" s="77" t="s">
        <v>28</v>
      </c>
      <c r="AH1" s="77"/>
    </row>
    <row r="2" spans="1:39" ht="23.65" customHeight="1">
      <c r="A2" s="71" t="s">
        <v>1</v>
      </c>
      <c r="B2" s="72"/>
      <c r="C2" s="78" t="s">
        <v>32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18"/>
      <c r="Q2" s="89" t="s">
        <v>2</v>
      </c>
      <c r="R2" s="90"/>
      <c r="S2" s="90"/>
      <c r="T2" s="90"/>
      <c r="U2" s="90"/>
      <c r="V2" s="90"/>
      <c r="W2" s="90"/>
      <c r="X2" s="91"/>
      <c r="Y2" s="81" t="s">
        <v>3</v>
      </c>
      <c r="Z2" s="81"/>
      <c r="AA2" s="81"/>
      <c r="AB2" s="81"/>
      <c r="AC2" s="81"/>
      <c r="AD2" s="81"/>
      <c r="AE2" s="81"/>
      <c r="AF2" s="81"/>
      <c r="AG2" s="71" t="s">
        <v>1</v>
      </c>
      <c r="AH2" s="72"/>
      <c r="AI2" s="101"/>
    </row>
    <row r="3" spans="1:39" ht="28.5" customHeight="1">
      <c r="A3" s="73"/>
      <c r="B3" s="74"/>
      <c r="C3" s="9" t="s">
        <v>31</v>
      </c>
      <c r="D3" s="82" t="s">
        <v>4</v>
      </c>
      <c r="E3" s="83"/>
      <c r="F3" s="84"/>
      <c r="G3" s="82" t="s">
        <v>5</v>
      </c>
      <c r="H3" s="83"/>
      <c r="I3" s="84"/>
      <c r="J3" s="82" t="s">
        <v>7</v>
      </c>
      <c r="K3" s="83"/>
      <c r="L3" s="83"/>
      <c r="M3" s="84"/>
      <c r="N3" s="82" t="s">
        <v>6</v>
      </c>
      <c r="O3" s="83"/>
      <c r="P3" s="85" t="s">
        <v>35</v>
      </c>
      <c r="Q3" s="96" t="s">
        <v>0</v>
      </c>
      <c r="R3" s="92" t="s">
        <v>4</v>
      </c>
      <c r="S3" s="93"/>
      <c r="T3" s="93"/>
      <c r="U3" s="94" t="s">
        <v>26</v>
      </c>
      <c r="V3" s="95"/>
      <c r="W3" s="95"/>
      <c r="X3" s="92"/>
      <c r="Y3" s="87" t="s">
        <v>0</v>
      </c>
      <c r="Z3" s="81" t="s">
        <v>8</v>
      </c>
      <c r="AA3" s="81"/>
      <c r="AB3" s="81"/>
      <c r="AC3" s="80" t="s">
        <v>26</v>
      </c>
      <c r="AD3" s="81"/>
      <c r="AE3" s="81"/>
      <c r="AF3" s="81"/>
      <c r="AG3" s="73"/>
      <c r="AH3" s="74"/>
      <c r="AI3" s="102" t="s">
        <v>40</v>
      </c>
      <c r="AJ3" s="103"/>
      <c r="AK3" s="103"/>
      <c r="AL3" s="104"/>
    </row>
    <row r="4" spans="1:39" ht="46" customHeight="1">
      <c r="A4" s="75"/>
      <c r="B4" s="76"/>
      <c r="C4" s="8" t="s">
        <v>30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10" t="s">
        <v>33</v>
      </c>
      <c r="O4" s="8" t="s">
        <v>34</v>
      </c>
      <c r="P4" s="86"/>
      <c r="Q4" s="97"/>
      <c r="R4" s="4" t="s">
        <v>16</v>
      </c>
      <c r="S4" s="4" t="s">
        <v>17</v>
      </c>
      <c r="T4" s="4" t="s">
        <v>18</v>
      </c>
      <c r="U4" s="16" t="s">
        <v>22</v>
      </c>
      <c r="V4" s="16" t="s">
        <v>23</v>
      </c>
      <c r="W4" s="16" t="s">
        <v>24</v>
      </c>
      <c r="X4" s="15" t="s">
        <v>25</v>
      </c>
      <c r="Y4" s="88"/>
      <c r="Z4" s="5" t="s">
        <v>16</v>
      </c>
      <c r="AA4" s="5" t="s">
        <v>17</v>
      </c>
      <c r="AB4" s="5" t="s">
        <v>18</v>
      </c>
      <c r="AC4" s="17" t="s">
        <v>22</v>
      </c>
      <c r="AD4" s="17" t="s">
        <v>23</v>
      </c>
      <c r="AE4" s="17" t="s">
        <v>24</v>
      </c>
      <c r="AF4" s="17" t="s">
        <v>25</v>
      </c>
      <c r="AG4" s="75"/>
      <c r="AH4" s="76"/>
      <c r="AI4" s="64" t="s">
        <v>41</v>
      </c>
      <c r="AJ4" s="5" t="s">
        <v>16</v>
      </c>
      <c r="AK4" s="5" t="s">
        <v>17</v>
      </c>
      <c r="AL4" s="5" t="s">
        <v>18</v>
      </c>
    </row>
    <row r="5" spans="1:39" ht="15">
      <c r="A5" s="3">
        <v>45901</v>
      </c>
      <c r="B5" s="3" t="s">
        <v>15</v>
      </c>
      <c r="C5" s="65"/>
      <c r="D5" s="65"/>
      <c r="E5" s="65"/>
      <c r="F5" s="65"/>
      <c r="G5" s="65"/>
      <c r="H5" s="6"/>
      <c r="I5" s="6"/>
      <c r="J5" s="6"/>
      <c r="K5" s="6"/>
      <c r="L5" s="6"/>
      <c r="M5" s="6"/>
      <c r="N5" s="6"/>
      <c r="O5" s="6"/>
      <c r="P5" s="28"/>
      <c r="Q5" s="29">
        <v>0</v>
      </c>
      <c r="R5" s="30"/>
      <c r="S5" s="30"/>
      <c r="T5" s="30"/>
      <c r="U5" s="6"/>
      <c r="V5" s="31"/>
      <c r="W5" s="31"/>
      <c r="X5" s="31"/>
      <c r="Y5" s="32">
        <v>0</v>
      </c>
      <c r="Z5" s="98"/>
      <c r="AA5" s="98"/>
      <c r="AB5" s="98"/>
      <c r="AC5" s="34"/>
      <c r="AD5" s="34"/>
      <c r="AE5" s="34"/>
      <c r="AF5" s="33"/>
      <c r="AG5" s="3">
        <v>45901</v>
      </c>
      <c r="AH5" s="3" t="s">
        <v>15</v>
      </c>
      <c r="AI5" s="36"/>
      <c r="AJ5" s="36"/>
      <c r="AK5" s="36"/>
      <c r="AL5" s="36"/>
    </row>
    <row r="6" spans="1:39" ht="15">
      <c r="A6" s="3">
        <v>45902</v>
      </c>
      <c r="B6" s="3" t="s">
        <v>9</v>
      </c>
      <c r="C6" s="66" t="s">
        <v>27</v>
      </c>
      <c r="D6" s="66" t="s">
        <v>27</v>
      </c>
      <c r="E6" s="67" t="s">
        <v>27</v>
      </c>
      <c r="F6" s="65"/>
      <c r="G6" s="66" t="s">
        <v>27</v>
      </c>
      <c r="H6" s="26" t="s">
        <v>27</v>
      </c>
      <c r="I6" s="6"/>
      <c r="J6" s="6"/>
      <c r="K6" s="6"/>
      <c r="L6" s="27" t="s">
        <v>27</v>
      </c>
      <c r="M6" s="6"/>
      <c r="N6" s="6"/>
      <c r="O6" s="27" t="s">
        <v>27</v>
      </c>
      <c r="P6" s="28"/>
      <c r="Q6" s="29">
        <v>20000</v>
      </c>
      <c r="R6" s="30">
        <v>10000</v>
      </c>
      <c r="S6" s="30">
        <v>10000</v>
      </c>
      <c r="T6" s="30"/>
      <c r="U6" s="6"/>
      <c r="V6" s="31"/>
      <c r="W6" s="31" t="s">
        <v>27</v>
      </c>
      <c r="X6" s="31"/>
      <c r="Y6" s="35">
        <v>20000</v>
      </c>
      <c r="Z6" s="99">
        <v>10000</v>
      </c>
      <c r="AA6" s="99">
        <v>10000</v>
      </c>
      <c r="AB6" s="99"/>
      <c r="AC6" s="34"/>
      <c r="AD6" s="34"/>
      <c r="AE6" s="34" t="s">
        <v>27</v>
      </c>
      <c r="AF6" s="36"/>
      <c r="AG6" s="3">
        <v>45902</v>
      </c>
      <c r="AH6" s="3" t="s">
        <v>9</v>
      </c>
      <c r="AI6" s="36">
        <f>SUM(AJ6:AL6)</f>
        <v>6</v>
      </c>
      <c r="AJ6" s="36">
        <v>3</v>
      </c>
      <c r="AK6" s="36">
        <v>3</v>
      </c>
      <c r="AL6" s="36"/>
      <c r="AM6" s="23">
        <f>Y6/AI6</f>
        <v>3333.3333333333335</v>
      </c>
    </row>
    <row r="7" spans="1:39" ht="15">
      <c r="A7" s="3">
        <v>45903</v>
      </c>
      <c r="B7" s="3" t="s">
        <v>10</v>
      </c>
      <c r="C7" s="66" t="s">
        <v>27</v>
      </c>
      <c r="D7" s="68" t="s">
        <v>27</v>
      </c>
      <c r="E7" s="69"/>
      <c r="F7" s="65"/>
      <c r="G7" s="65"/>
      <c r="H7" s="26" t="s">
        <v>27</v>
      </c>
      <c r="I7" s="27" t="s">
        <v>27</v>
      </c>
      <c r="J7" s="6"/>
      <c r="K7" s="6"/>
      <c r="L7" s="27" t="s">
        <v>27</v>
      </c>
      <c r="M7" s="26" t="s">
        <v>27</v>
      </c>
      <c r="N7" s="26" t="s">
        <v>27</v>
      </c>
      <c r="O7" s="27" t="s">
        <v>27</v>
      </c>
      <c r="P7" s="28"/>
      <c r="Q7" s="29">
        <v>20000</v>
      </c>
      <c r="R7" s="30">
        <v>20000</v>
      </c>
      <c r="S7" s="30"/>
      <c r="T7" s="30"/>
      <c r="U7" s="6"/>
      <c r="V7" s="31"/>
      <c r="W7" s="31" t="s">
        <v>27</v>
      </c>
      <c r="X7" s="31" t="s">
        <v>27</v>
      </c>
      <c r="Y7" s="35">
        <v>20000</v>
      </c>
      <c r="Z7" s="99">
        <v>20000</v>
      </c>
      <c r="AA7" s="99"/>
      <c r="AB7" s="99"/>
      <c r="AC7" s="34"/>
      <c r="AD7" s="34"/>
      <c r="AE7" s="34" t="s">
        <v>27</v>
      </c>
      <c r="AF7" s="36" t="s">
        <v>27</v>
      </c>
      <c r="AG7" s="3">
        <v>45903</v>
      </c>
      <c r="AH7" s="3" t="s">
        <v>10</v>
      </c>
      <c r="AI7" s="36">
        <f t="shared" ref="AI7:AI34" si="0">SUM(AJ7:AL7)</f>
        <v>5</v>
      </c>
      <c r="AJ7" s="36">
        <v>5</v>
      </c>
      <c r="AK7" s="36"/>
      <c r="AL7" s="36"/>
      <c r="AM7" s="23">
        <f>Y7/AI7</f>
        <v>4000</v>
      </c>
    </row>
    <row r="8" spans="1:39" ht="14">
      <c r="A8" s="3">
        <v>45904</v>
      </c>
      <c r="B8" s="3" t="s">
        <v>11</v>
      </c>
      <c r="C8" s="66" t="s">
        <v>27</v>
      </c>
      <c r="D8" s="69"/>
      <c r="E8" s="70" t="s">
        <v>27</v>
      </c>
      <c r="F8" s="66" t="s">
        <v>27</v>
      </c>
      <c r="G8" s="66" t="s">
        <v>27</v>
      </c>
      <c r="H8" s="6"/>
      <c r="I8" s="27" t="s">
        <v>27</v>
      </c>
      <c r="J8" s="6"/>
      <c r="K8" s="6"/>
      <c r="L8" s="6"/>
      <c r="M8" s="26" t="s">
        <v>27</v>
      </c>
      <c r="N8" s="26" t="s">
        <v>27</v>
      </c>
      <c r="O8" s="6"/>
      <c r="P8" s="28"/>
      <c r="Q8" s="50">
        <v>20000</v>
      </c>
      <c r="R8" s="36"/>
      <c r="S8" s="36">
        <v>12500</v>
      </c>
      <c r="T8" s="36">
        <v>7500</v>
      </c>
      <c r="U8" s="36"/>
      <c r="V8" s="36"/>
      <c r="W8" s="36"/>
      <c r="X8" s="36" t="s">
        <v>27</v>
      </c>
      <c r="Y8" s="50">
        <v>20000</v>
      </c>
      <c r="Z8" s="99"/>
      <c r="AA8" s="99">
        <v>12500</v>
      </c>
      <c r="AB8" s="99">
        <v>7500</v>
      </c>
      <c r="AC8" s="36"/>
      <c r="AD8" s="36"/>
      <c r="AE8" s="36"/>
      <c r="AF8" s="36" t="s">
        <v>27</v>
      </c>
      <c r="AG8" s="3">
        <v>45904</v>
      </c>
      <c r="AH8" s="3" t="s">
        <v>11</v>
      </c>
      <c r="AI8" s="36">
        <f t="shared" si="0"/>
        <v>6</v>
      </c>
      <c r="AJ8" s="36"/>
      <c r="AK8" s="36">
        <v>4</v>
      </c>
      <c r="AL8" s="36">
        <v>2</v>
      </c>
      <c r="AM8" s="23">
        <f>Y8/AI8</f>
        <v>3333.3333333333335</v>
      </c>
    </row>
    <row r="9" spans="1:39" ht="14">
      <c r="A9" s="3">
        <v>45905</v>
      </c>
      <c r="B9" s="3" t="s">
        <v>12</v>
      </c>
      <c r="C9" s="66" t="s">
        <v>27</v>
      </c>
      <c r="D9" s="70" t="s">
        <v>38</v>
      </c>
      <c r="E9" s="70" t="s">
        <v>27</v>
      </c>
      <c r="F9" s="66" t="s">
        <v>27</v>
      </c>
      <c r="G9" s="70" t="s">
        <v>38</v>
      </c>
      <c r="H9" s="26" t="s">
        <v>27</v>
      </c>
      <c r="I9" s="27" t="s">
        <v>27</v>
      </c>
      <c r="J9" s="6"/>
      <c r="K9" s="27" t="s">
        <v>27</v>
      </c>
      <c r="L9" s="27" t="s">
        <v>27</v>
      </c>
      <c r="M9" s="26" t="s">
        <v>38</v>
      </c>
      <c r="N9" s="26" t="s">
        <v>27</v>
      </c>
      <c r="O9" s="26" t="s">
        <v>38</v>
      </c>
      <c r="P9" s="28"/>
      <c r="Q9" s="50">
        <v>50000</v>
      </c>
      <c r="R9" s="44">
        <v>20000</v>
      </c>
      <c r="S9" s="44">
        <v>20000</v>
      </c>
      <c r="T9" s="44">
        <v>10000</v>
      </c>
      <c r="U9" s="52"/>
      <c r="V9" s="36" t="s">
        <v>27</v>
      </c>
      <c r="W9" s="36" t="s">
        <v>27</v>
      </c>
      <c r="X9" s="36" t="s">
        <v>39</v>
      </c>
      <c r="Y9" s="53">
        <v>50000</v>
      </c>
      <c r="Z9" s="99">
        <v>20000</v>
      </c>
      <c r="AA9" s="99">
        <v>20000</v>
      </c>
      <c r="AB9" s="99">
        <v>10000</v>
      </c>
      <c r="AC9" s="52"/>
      <c r="AD9" s="36" t="s">
        <v>27</v>
      </c>
      <c r="AE9" s="36" t="s">
        <v>27</v>
      </c>
      <c r="AF9" s="36" t="s">
        <v>39</v>
      </c>
      <c r="AG9" s="3">
        <v>45905</v>
      </c>
      <c r="AH9" s="3" t="s">
        <v>12</v>
      </c>
      <c r="AI9" s="36">
        <f t="shared" si="0"/>
        <v>13</v>
      </c>
      <c r="AJ9" s="36">
        <v>5</v>
      </c>
      <c r="AK9" s="36">
        <v>5</v>
      </c>
      <c r="AL9" s="36">
        <v>3</v>
      </c>
      <c r="AM9" s="23">
        <f>Y9/AI9</f>
        <v>3846.1538461538462</v>
      </c>
    </row>
    <row r="10" spans="1:39" ht="14">
      <c r="A10" s="3">
        <v>45906</v>
      </c>
      <c r="B10" s="3" t="s">
        <v>13</v>
      </c>
      <c r="C10" s="66" t="s">
        <v>27</v>
      </c>
      <c r="D10" s="66" t="s">
        <v>27</v>
      </c>
      <c r="E10" s="70" t="s">
        <v>27</v>
      </c>
      <c r="F10" s="66" t="s">
        <v>27</v>
      </c>
      <c r="G10" s="66" t="s">
        <v>27</v>
      </c>
      <c r="H10" s="26" t="s">
        <v>27</v>
      </c>
      <c r="I10" s="27" t="s">
        <v>27</v>
      </c>
      <c r="J10" s="40" t="s">
        <v>27</v>
      </c>
      <c r="K10" s="6"/>
      <c r="L10" s="27" t="s">
        <v>27</v>
      </c>
      <c r="M10" s="26" t="s">
        <v>27</v>
      </c>
      <c r="N10" s="26" t="s">
        <v>27</v>
      </c>
      <c r="O10" s="27" t="s">
        <v>27</v>
      </c>
      <c r="P10" s="42" t="s">
        <v>37</v>
      </c>
      <c r="Q10" s="50">
        <v>220000</v>
      </c>
      <c r="R10" s="44">
        <v>100000</v>
      </c>
      <c r="S10" s="44">
        <v>90000</v>
      </c>
      <c r="T10" s="44">
        <v>30000</v>
      </c>
      <c r="U10" s="52" t="s">
        <v>27</v>
      </c>
      <c r="V10" s="36"/>
      <c r="W10" s="36" t="s">
        <v>27</v>
      </c>
      <c r="X10" s="36" t="s">
        <v>27</v>
      </c>
      <c r="Y10" s="53">
        <v>220000</v>
      </c>
      <c r="Z10" s="99">
        <v>100000</v>
      </c>
      <c r="AA10" s="99">
        <v>90000</v>
      </c>
      <c r="AB10" s="99">
        <v>30000</v>
      </c>
      <c r="AC10" s="52" t="s">
        <v>27</v>
      </c>
      <c r="AD10" s="36"/>
      <c r="AE10" s="36" t="s">
        <v>27</v>
      </c>
      <c r="AF10" s="36" t="s">
        <v>27</v>
      </c>
      <c r="AG10" s="3">
        <v>45906</v>
      </c>
      <c r="AH10" s="3" t="s">
        <v>13</v>
      </c>
      <c r="AI10" s="36">
        <f t="shared" si="0"/>
        <v>25</v>
      </c>
      <c r="AJ10" s="36">
        <v>12</v>
      </c>
      <c r="AK10" s="36">
        <v>10</v>
      </c>
      <c r="AL10" s="36">
        <v>3</v>
      </c>
      <c r="AM10" s="23">
        <f>Y10/AI10</f>
        <v>8800</v>
      </c>
    </row>
    <row r="11" spans="1:39" ht="14">
      <c r="A11" s="3">
        <v>45907</v>
      </c>
      <c r="B11" s="3" t="s">
        <v>14</v>
      </c>
      <c r="C11" s="65"/>
      <c r="D11" s="66" t="s">
        <v>27</v>
      </c>
      <c r="E11" s="70" t="s">
        <v>27</v>
      </c>
      <c r="F11" s="66" t="s">
        <v>27</v>
      </c>
      <c r="G11" s="66" t="s">
        <v>27</v>
      </c>
      <c r="H11" s="6"/>
      <c r="I11" s="27" t="s">
        <v>27</v>
      </c>
      <c r="J11" s="6"/>
      <c r="K11" s="27" t="s">
        <v>27</v>
      </c>
      <c r="L11" s="27" t="s">
        <v>27</v>
      </c>
      <c r="M11" s="26" t="s">
        <v>27</v>
      </c>
      <c r="N11" s="26" t="s">
        <v>27</v>
      </c>
      <c r="O11" s="27" t="s">
        <v>27</v>
      </c>
      <c r="P11" s="38"/>
      <c r="Q11" s="50">
        <v>80000</v>
      </c>
      <c r="R11" s="44">
        <v>50000</v>
      </c>
      <c r="S11" s="44">
        <v>20000</v>
      </c>
      <c r="T11" s="44">
        <v>10000</v>
      </c>
      <c r="U11" s="44"/>
      <c r="V11" s="44" t="s">
        <v>27</v>
      </c>
      <c r="W11" s="44" t="s">
        <v>27</v>
      </c>
      <c r="X11" s="44" t="s">
        <v>27</v>
      </c>
      <c r="Y11" s="54">
        <v>80000</v>
      </c>
      <c r="Z11" s="99">
        <v>50000</v>
      </c>
      <c r="AA11" s="99">
        <v>20000</v>
      </c>
      <c r="AB11" s="99">
        <v>10000</v>
      </c>
      <c r="AC11" s="44"/>
      <c r="AD11" s="44" t="s">
        <v>27</v>
      </c>
      <c r="AE11" s="44" t="s">
        <v>27</v>
      </c>
      <c r="AF11" s="44" t="s">
        <v>27</v>
      </c>
      <c r="AG11" s="3">
        <v>45907</v>
      </c>
      <c r="AH11" s="3" t="s">
        <v>14</v>
      </c>
      <c r="AI11" s="44">
        <f t="shared" si="0"/>
        <v>18</v>
      </c>
      <c r="AJ11" s="36">
        <v>11</v>
      </c>
      <c r="AK11" s="36">
        <v>5</v>
      </c>
      <c r="AL11" s="36">
        <v>2</v>
      </c>
      <c r="AM11" s="23">
        <f>Y11/AI11</f>
        <v>4444.4444444444443</v>
      </c>
    </row>
    <row r="12" spans="1:39" ht="14">
      <c r="A12" s="45">
        <v>45908</v>
      </c>
      <c r="B12" s="45" t="s">
        <v>15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7"/>
      <c r="Q12" s="24">
        <v>0</v>
      </c>
      <c r="R12" s="51"/>
      <c r="S12" s="51"/>
      <c r="T12" s="51"/>
      <c r="U12" s="55"/>
      <c r="V12" s="14"/>
      <c r="W12" s="14"/>
      <c r="X12" s="14"/>
      <c r="Y12" s="56">
        <v>0</v>
      </c>
      <c r="Z12" s="24"/>
      <c r="AA12" s="24"/>
      <c r="AB12" s="24"/>
      <c r="AC12" s="55"/>
      <c r="AD12" s="14"/>
      <c r="AE12" s="14"/>
      <c r="AF12" s="14"/>
      <c r="AG12" s="45">
        <v>45908</v>
      </c>
      <c r="AH12" s="45" t="s">
        <v>15</v>
      </c>
      <c r="AI12" s="14">
        <f t="shared" si="0"/>
        <v>0</v>
      </c>
      <c r="AJ12" s="36"/>
      <c r="AK12" s="36"/>
      <c r="AL12" s="36"/>
      <c r="AM12" s="23" t="e">
        <f>Y12/AI12</f>
        <v>#DIV/0!</v>
      </c>
    </row>
    <row r="13" spans="1:39" ht="14">
      <c r="A13" s="3">
        <v>45909</v>
      </c>
      <c r="B13" s="3" t="s">
        <v>9</v>
      </c>
      <c r="C13" s="66" t="s">
        <v>27</v>
      </c>
      <c r="D13" s="65"/>
      <c r="E13" s="70" t="s">
        <v>27</v>
      </c>
      <c r="F13" s="27" t="s">
        <v>27</v>
      </c>
      <c r="G13" s="6"/>
      <c r="H13" s="26" t="s">
        <v>27</v>
      </c>
      <c r="I13" s="27" t="s">
        <v>27</v>
      </c>
      <c r="J13" s="6"/>
      <c r="K13" s="27" t="s">
        <v>27</v>
      </c>
      <c r="L13" s="6"/>
      <c r="M13" s="26" t="s">
        <v>27</v>
      </c>
      <c r="N13" s="26" t="s">
        <v>27</v>
      </c>
      <c r="O13" s="6"/>
      <c r="P13" s="37"/>
      <c r="Q13" s="50">
        <v>30000</v>
      </c>
      <c r="R13" s="44"/>
      <c r="S13" s="44">
        <v>25000</v>
      </c>
      <c r="T13" s="44">
        <v>5000</v>
      </c>
      <c r="U13" s="52"/>
      <c r="V13" s="36" t="s">
        <v>27</v>
      </c>
      <c r="W13" s="36"/>
      <c r="X13" s="36" t="s">
        <v>27</v>
      </c>
      <c r="Y13" s="53">
        <v>20000</v>
      </c>
      <c r="Z13" s="99"/>
      <c r="AA13" s="99">
        <v>15000</v>
      </c>
      <c r="AB13" s="99">
        <v>5000</v>
      </c>
      <c r="AC13" s="52"/>
      <c r="AD13" s="36" t="s">
        <v>27</v>
      </c>
      <c r="AE13" s="36"/>
      <c r="AF13" s="36" t="s">
        <v>27</v>
      </c>
      <c r="AG13" s="3">
        <v>45909</v>
      </c>
      <c r="AH13" s="3" t="s">
        <v>9</v>
      </c>
      <c r="AI13" s="36">
        <f t="shared" si="0"/>
        <v>6</v>
      </c>
      <c r="AJ13" s="36"/>
      <c r="AK13" s="36">
        <v>5</v>
      </c>
      <c r="AL13" s="36">
        <v>1</v>
      </c>
      <c r="AM13" s="23">
        <f>Y13/AI13</f>
        <v>3333.3333333333335</v>
      </c>
    </row>
    <row r="14" spans="1:39" ht="14">
      <c r="A14" s="3">
        <v>45910</v>
      </c>
      <c r="B14" s="3" t="s">
        <v>10</v>
      </c>
      <c r="C14" s="66" t="s">
        <v>27</v>
      </c>
      <c r="D14" s="65"/>
      <c r="E14" s="70" t="s">
        <v>27</v>
      </c>
      <c r="F14" s="27" t="s">
        <v>27</v>
      </c>
      <c r="G14" s="27" t="s">
        <v>27</v>
      </c>
      <c r="H14" s="26" t="s">
        <v>27</v>
      </c>
      <c r="I14" s="6"/>
      <c r="J14" s="6"/>
      <c r="K14" s="6"/>
      <c r="L14" s="6"/>
      <c r="M14" s="26" t="s">
        <v>27</v>
      </c>
      <c r="N14" s="6"/>
      <c r="O14" s="27" t="s">
        <v>27</v>
      </c>
      <c r="P14" s="39"/>
      <c r="Q14" s="50">
        <v>20000</v>
      </c>
      <c r="R14" s="44"/>
      <c r="S14" s="44">
        <v>15000</v>
      </c>
      <c r="T14" s="44">
        <v>5000</v>
      </c>
      <c r="U14" s="52"/>
      <c r="V14" s="36"/>
      <c r="W14" s="36"/>
      <c r="X14" s="36" t="s">
        <v>27</v>
      </c>
      <c r="Y14" s="53">
        <v>20000</v>
      </c>
      <c r="Z14" s="99"/>
      <c r="AA14" s="99">
        <v>15000</v>
      </c>
      <c r="AB14" s="99">
        <v>5000</v>
      </c>
      <c r="AC14" s="52"/>
      <c r="AD14" s="36"/>
      <c r="AE14" s="36"/>
      <c r="AF14" s="36" t="s">
        <v>27</v>
      </c>
      <c r="AG14" s="3">
        <v>45910</v>
      </c>
      <c r="AH14" s="3" t="s">
        <v>10</v>
      </c>
      <c r="AI14" s="36">
        <f t="shared" si="0"/>
        <v>5</v>
      </c>
      <c r="AJ14" s="36"/>
      <c r="AK14" s="36">
        <v>4</v>
      </c>
      <c r="AL14" s="36">
        <v>1</v>
      </c>
      <c r="AM14" s="23">
        <f>Y14/AI14</f>
        <v>4000</v>
      </c>
    </row>
    <row r="15" spans="1:39" ht="14">
      <c r="A15" s="3">
        <v>45911</v>
      </c>
      <c r="B15" s="3" t="s">
        <v>11</v>
      </c>
      <c r="C15" s="66" t="s">
        <v>27</v>
      </c>
      <c r="D15" s="66" t="s">
        <v>27</v>
      </c>
      <c r="E15" s="65"/>
      <c r="F15" s="27" t="s">
        <v>27</v>
      </c>
      <c r="G15" s="27" t="s">
        <v>27</v>
      </c>
      <c r="H15" s="6"/>
      <c r="I15" s="27" t="s">
        <v>27</v>
      </c>
      <c r="J15" s="6"/>
      <c r="K15" s="6"/>
      <c r="L15" s="6"/>
      <c r="M15" s="26" t="s">
        <v>27</v>
      </c>
      <c r="N15" s="27" t="s">
        <v>27</v>
      </c>
      <c r="O15" s="27" t="s">
        <v>27</v>
      </c>
      <c r="P15" s="28"/>
      <c r="Q15" s="50">
        <v>20000</v>
      </c>
      <c r="R15" s="36">
        <v>16500</v>
      </c>
      <c r="S15" s="36"/>
      <c r="T15" s="36">
        <v>3500</v>
      </c>
      <c r="U15" s="36"/>
      <c r="V15" s="36"/>
      <c r="W15" s="36"/>
      <c r="X15" s="36" t="s">
        <v>27</v>
      </c>
      <c r="Y15" s="50">
        <v>20000</v>
      </c>
      <c r="Z15" s="99">
        <v>16500</v>
      </c>
      <c r="AA15" s="99"/>
      <c r="AB15" s="99">
        <v>3500</v>
      </c>
      <c r="AC15" s="36"/>
      <c r="AD15" s="36"/>
      <c r="AE15" s="36"/>
      <c r="AF15" s="36" t="s">
        <v>27</v>
      </c>
      <c r="AG15" s="3">
        <v>45911</v>
      </c>
      <c r="AH15" s="3" t="s">
        <v>11</v>
      </c>
      <c r="AI15" s="36">
        <f t="shared" si="0"/>
        <v>6</v>
      </c>
      <c r="AJ15" s="36">
        <v>5</v>
      </c>
      <c r="AK15" s="36"/>
      <c r="AL15" s="36">
        <v>1</v>
      </c>
      <c r="AM15" s="23">
        <f>Y15/AI15</f>
        <v>3333.3333333333335</v>
      </c>
    </row>
    <row r="16" spans="1:39" ht="14">
      <c r="A16" s="3">
        <v>45912</v>
      </c>
      <c r="B16" s="3" t="s">
        <v>12</v>
      </c>
      <c r="C16" s="66" t="s">
        <v>27</v>
      </c>
      <c r="D16" s="66" t="s">
        <v>27</v>
      </c>
      <c r="E16" s="70" t="s">
        <v>38</v>
      </c>
      <c r="F16" s="27" t="s">
        <v>27</v>
      </c>
      <c r="G16" s="27" t="s">
        <v>27</v>
      </c>
      <c r="H16" s="26" t="s">
        <v>38</v>
      </c>
      <c r="I16" s="27" t="s">
        <v>27</v>
      </c>
      <c r="J16" s="6"/>
      <c r="K16" s="6"/>
      <c r="L16" s="27" t="s">
        <v>27</v>
      </c>
      <c r="M16" s="6"/>
      <c r="N16" s="26" t="s">
        <v>38</v>
      </c>
      <c r="O16" s="27" t="s">
        <v>27</v>
      </c>
      <c r="P16" s="28"/>
      <c r="Q16" s="50">
        <v>30000</v>
      </c>
      <c r="R16" s="44">
        <v>20000</v>
      </c>
      <c r="S16" s="44">
        <v>8000</v>
      </c>
      <c r="T16" s="44">
        <v>2000</v>
      </c>
      <c r="U16" s="52"/>
      <c r="V16" s="36"/>
      <c r="W16" s="36" t="s">
        <v>27</v>
      </c>
      <c r="X16" s="36"/>
      <c r="Y16" s="57">
        <v>40000</v>
      </c>
      <c r="Z16" s="99">
        <v>20000</v>
      </c>
      <c r="AA16" s="99">
        <v>18000</v>
      </c>
      <c r="AB16" s="99">
        <v>2000</v>
      </c>
      <c r="AC16" s="52"/>
      <c r="AD16" s="36"/>
      <c r="AE16" s="36" t="s">
        <v>27</v>
      </c>
      <c r="AF16" s="36"/>
      <c r="AG16" s="3">
        <v>45912</v>
      </c>
      <c r="AH16" s="3" t="s">
        <v>12</v>
      </c>
      <c r="AI16" s="36">
        <f t="shared" si="0"/>
        <v>11</v>
      </c>
      <c r="AJ16" s="36">
        <v>5</v>
      </c>
      <c r="AK16" s="36">
        <v>5</v>
      </c>
      <c r="AL16" s="36">
        <v>1</v>
      </c>
      <c r="AM16" s="23">
        <f>Y16/AI16</f>
        <v>3636.3636363636365</v>
      </c>
    </row>
    <row r="17" spans="1:39" ht="14">
      <c r="A17" s="3">
        <v>45913</v>
      </c>
      <c r="B17" s="3" t="s">
        <v>13</v>
      </c>
      <c r="C17" s="66" t="s">
        <v>27</v>
      </c>
      <c r="D17" s="66" t="s">
        <v>27</v>
      </c>
      <c r="E17" s="70" t="s">
        <v>27</v>
      </c>
      <c r="F17" s="27" t="s">
        <v>27</v>
      </c>
      <c r="G17" s="27" t="s">
        <v>27</v>
      </c>
      <c r="H17" s="26" t="s">
        <v>27</v>
      </c>
      <c r="I17" s="27" t="s">
        <v>27</v>
      </c>
      <c r="J17" s="20"/>
      <c r="K17" s="27" t="s">
        <v>27</v>
      </c>
      <c r="L17" s="27" t="s">
        <v>27</v>
      </c>
      <c r="M17" s="26" t="s">
        <v>27</v>
      </c>
      <c r="N17" s="26" t="s">
        <v>27</v>
      </c>
      <c r="O17" s="27" t="s">
        <v>27</v>
      </c>
      <c r="P17" s="28"/>
      <c r="Q17" s="50">
        <v>150000</v>
      </c>
      <c r="R17" s="44">
        <v>85000</v>
      </c>
      <c r="S17" s="44">
        <v>55000</v>
      </c>
      <c r="T17" s="44">
        <v>10000</v>
      </c>
      <c r="U17" s="52"/>
      <c r="V17" s="36" t="s">
        <v>27</v>
      </c>
      <c r="W17" s="36" t="s">
        <v>27</v>
      </c>
      <c r="X17" s="36" t="s">
        <v>27</v>
      </c>
      <c r="Y17" s="57">
        <v>150000</v>
      </c>
      <c r="Z17" s="99">
        <v>85000</v>
      </c>
      <c r="AA17" s="99">
        <v>55000</v>
      </c>
      <c r="AB17" s="99">
        <v>10000</v>
      </c>
      <c r="AC17" s="52"/>
      <c r="AD17" s="36" t="s">
        <v>27</v>
      </c>
      <c r="AE17" s="36" t="s">
        <v>27</v>
      </c>
      <c r="AF17" s="36" t="s">
        <v>27</v>
      </c>
      <c r="AG17" s="3">
        <v>45913</v>
      </c>
      <c r="AH17" s="3" t="s">
        <v>13</v>
      </c>
      <c r="AI17" s="36">
        <f t="shared" si="0"/>
        <v>26</v>
      </c>
      <c r="AJ17" s="36">
        <v>13</v>
      </c>
      <c r="AK17" s="36">
        <v>11</v>
      </c>
      <c r="AL17" s="36">
        <v>2</v>
      </c>
      <c r="AM17" s="23">
        <f>Y17/AI17</f>
        <v>5769.2307692307695</v>
      </c>
    </row>
    <row r="18" spans="1:39" ht="14">
      <c r="A18" s="3">
        <v>45914</v>
      </c>
      <c r="B18" s="3" t="s">
        <v>14</v>
      </c>
      <c r="C18" s="65"/>
      <c r="D18" s="66" t="s">
        <v>27</v>
      </c>
      <c r="E18" s="70" t="s">
        <v>27</v>
      </c>
      <c r="F18" s="6"/>
      <c r="G18" s="27" t="s">
        <v>27</v>
      </c>
      <c r="H18" s="26" t="s">
        <v>27</v>
      </c>
      <c r="I18" s="27" t="s">
        <v>27</v>
      </c>
      <c r="J18" s="6"/>
      <c r="K18" s="20"/>
      <c r="L18" s="27" t="s">
        <v>27</v>
      </c>
      <c r="M18" s="6"/>
      <c r="N18" s="26" t="s">
        <v>27</v>
      </c>
      <c r="O18" s="27" t="s">
        <v>27</v>
      </c>
      <c r="P18" s="28"/>
      <c r="Q18" s="50">
        <v>40000</v>
      </c>
      <c r="R18" s="44">
        <v>20000</v>
      </c>
      <c r="S18" s="44">
        <v>20000</v>
      </c>
      <c r="T18" s="44"/>
      <c r="U18" s="44"/>
      <c r="V18" s="44"/>
      <c r="W18" s="44" t="s">
        <v>27</v>
      </c>
      <c r="X18" s="44"/>
      <c r="Y18" s="50">
        <v>40000</v>
      </c>
      <c r="Z18" s="99">
        <v>20000</v>
      </c>
      <c r="AA18" s="99">
        <v>20000</v>
      </c>
      <c r="AB18" s="99"/>
      <c r="AC18" s="44"/>
      <c r="AD18" s="44"/>
      <c r="AE18" s="44" t="s">
        <v>27</v>
      </c>
      <c r="AF18" s="44"/>
      <c r="AG18" s="3">
        <v>45914</v>
      </c>
      <c r="AH18" s="3" t="s">
        <v>14</v>
      </c>
      <c r="AI18" s="44">
        <f t="shared" si="0"/>
        <v>10</v>
      </c>
      <c r="AJ18" s="36">
        <v>5</v>
      </c>
      <c r="AK18" s="36">
        <v>5</v>
      </c>
      <c r="AL18" s="36"/>
      <c r="AM18" s="23">
        <f>Y18/AI18</f>
        <v>4000</v>
      </c>
    </row>
    <row r="19" spans="1:39" ht="14">
      <c r="A19" s="45">
        <v>45915</v>
      </c>
      <c r="B19" s="45" t="s">
        <v>15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  <c r="Q19" s="24">
        <v>0</v>
      </c>
      <c r="R19" s="51"/>
      <c r="S19" s="51"/>
      <c r="T19" s="51"/>
      <c r="U19" s="55"/>
      <c r="V19" s="14"/>
      <c r="W19" s="14"/>
      <c r="X19" s="14"/>
      <c r="Y19" s="58">
        <v>0</v>
      </c>
      <c r="Z19" s="24"/>
      <c r="AA19" s="24"/>
      <c r="AB19" s="24"/>
      <c r="AC19" s="55"/>
      <c r="AD19" s="14"/>
      <c r="AE19" s="14"/>
      <c r="AF19" s="14"/>
      <c r="AG19" s="45">
        <v>45915</v>
      </c>
      <c r="AH19" s="45" t="s">
        <v>15</v>
      </c>
      <c r="AI19" s="14">
        <f t="shared" si="0"/>
        <v>0</v>
      </c>
      <c r="AJ19" s="36"/>
      <c r="AK19" s="36"/>
      <c r="AL19" s="36"/>
      <c r="AM19" s="23" t="e">
        <f>Y19/AI19</f>
        <v>#DIV/0!</v>
      </c>
    </row>
    <row r="20" spans="1:39" ht="14">
      <c r="A20" s="3">
        <v>45916</v>
      </c>
      <c r="B20" s="3" t="s">
        <v>9</v>
      </c>
      <c r="C20" s="66" t="s">
        <v>27</v>
      </c>
      <c r="D20" s="66" t="s">
        <v>27</v>
      </c>
      <c r="E20" s="65"/>
      <c r="F20" s="66" t="s">
        <v>27</v>
      </c>
      <c r="G20" s="27" t="s">
        <v>27</v>
      </c>
      <c r="H20" s="6"/>
      <c r="I20" s="27" t="s">
        <v>27</v>
      </c>
      <c r="J20" s="6"/>
      <c r="K20" s="27" t="s">
        <v>27</v>
      </c>
      <c r="L20" s="6"/>
      <c r="M20" s="26" t="s">
        <v>27</v>
      </c>
      <c r="N20" s="6"/>
      <c r="O20" s="27" t="s">
        <v>27</v>
      </c>
      <c r="P20" s="42"/>
      <c r="Q20" s="50">
        <v>30000</v>
      </c>
      <c r="R20" s="44">
        <v>25000</v>
      </c>
      <c r="S20" s="44"/>
      <c r="T20" s="44">
        <v>5000</v>
      </c>
      <c r="U20" s="52"/>
      <c r="V20" s="36" t="s">
        <v>27</v>
      </c>
      <c r="W20" s="36"/>
      <c r="X20" s="36" t="s">
        <v>27</v>
      </c>
      <c r="Y20" s="57">
        <v>30000</v>
      </c>
      <c r="Z20" s="99">
        <v>25000</v>
      </c>
      <c r="AA20" s="99"/>
      <c r="AB20" s="99">
        <v>5000</v>
      </c>
      <c r="AC20" s="52"/>
      <c r="AD20" s="36" t="s">
        <v>27</v>
      </c>
      <c r="AE20" s="36"/>
      <c r="AF20" s="36" t="s">
        <v>27</v>
      </c>
      <c r="AG20" s="3">
        <v>45916</v>
      </c>
      <c r="AH20" s="3" t="s">
        <v>9</v>
      </c>
      <c r="AI20" s="36">
        <f t="shared" si="0"/>
        <v>7</v>
      </c>
      <c r="AJ20" s="36">
        <v>6</v>
      </c>
      <c r="AK20" s="36"/>
      <c r="AL20" s="36">
        <v>1</v>
      </c>
      <c r="AM20" s="23">
        <f>Y20/AI20</f>
        <v>4285.7142857142853</v>
      </c>
    </row>
    <row r="21" spans="1:39" ht="14">
      <c r="A21" s="3">
        <v>45917</v>
      </c>
      <c r="B21" s="3" t="s">
        <v>10</v>
      </c>
      <c r="C21" s="66" t="s">
        <v>27</v>
      </c>
      <c r="D21" s="65"/>
      <c r="E21" s="70" t="s">
        <v>27</v>
      </c>
      <c r="F21" s="66" t="s">
        <v>27</v>
      </c>
      <c r="G21" s="6"/>
      <c r="H21" s="27" t="s">
        <v>27</v>
      </c>
      <c r="I21" s="27" t="s">
        <v>27</v>
      </c>
      <c r="J21" s="6"/>
      <c r="K21" s="6"/>
      <c r="L21" s="27" t="s">
        <v>27</v>
      </c>
      <c r="M21" s="26" t="s">
        <v>27</v>
      </c>
      <c r="N21" s="26" t="s">
        <v>27</v>
      </c>
      <c r="O21" s="6"/>
      <c r="P21" s="28"/>
      <c r="Q21" s="50">
        <v>20000</v>
      </c>
      <c r="R21" s="44"/>
      <c r="S21" s="44">
        <v>18000</v>
      </c>
      <c r="T21" s="44">
        <v>2000</v>
      </c>
      <c r="U21" s="52"/>
      <c r="V21" s="36"/>
      <c r="W21" s="36" t="s">
        <v>27</v>
      </c>
      <c r="X21" s="36" t="s">
        <v>27</v>
      </c>
      <c r="Y21" s="57">
        <v>20000</v>
      </c>
      <c r="Z21" s="99"/>
      <c r="AA21" s="99">
        <v>18000</v>
      </c>
      <c r="AB21" s="99">
        <v>2000</v>
      </c>
      <c r="AC21" s="52"/>
      <c r="AD21" s="36"/>
      <c r="AE21" s="36" t="s">
        <v>27</v>
      </c>
      <c r="AF21" s="36" t="s">
        <v>27</v>
      </c>
      <c r="AG21" s="3">
        <v>45917</v>
      </c>
      <c r="AH21" s="3" t="s">
        <v>10</v>
      </c>
      <c r="AI21" s="36">
        <f t="shared" si="0"/>
        <v>6</v>
      </c>
      <c r="AJ21" s="36"/>
      <c r="AK21" s="36">
        <v>5</v>
      </c>
      <c r="AL21" s="36">
        <v>1</v>
      </c>
      <c r="AM21" s="23">
        <f>Y21/AI21</f>
        <v>3333.3333333333335</v>
      </c>
    </row>
    <row r="22" spans="1:39" ht="14">
      <c r="A22" s="3">
        <v>45918</v>
      </c>
      <c r="B22" s="3" t="s">
        <v>11</v>
      </c>
      <c r="C22" s="66" t="s">
        <v>27</v>
      </c>
      <c r="D22" s="65"/>
      <c r="E22" s="70" t="s">
        <v>27</v>
      </c>
      <c r="F22" s="66" t="s">
        <v>27</v>
      </c>
      <c r="G22" s="27" t="s">
        <v>27</v>
      </c>
      <c r="H22" s="26" t="s">
        <v>27</v>
      </c>
      <c r="I22" s="6"/>
      <c r="J22" s="6"/>
      <c r="K22" s="6"/>
      <c r="L22" s="27" t="s">
        <v>27</v>
      </c>
      <c r="M22" s="6"/>
      <c r="N22" s="26" t="s">
        <v>27</v>
      </c>
      <c r="O22" s="27" t="s">
        <v>27</v>
      </c>
      <c r="P22" s="28"/>
      <c r="Q22" s="50">
        <v>15000</v>
      </c>
      <c r="R22" s="36"/>
      <c r="S22" s="36">
        <v>12000</v>
      </c>
      <c r="T22" s="36">
        <v>3000</v>
      </c>
      <c r="U22" s="36"/>
      <c r="V22" s="36"/>
      <c r="W22" s="36" t="s">
        <v>27</v>
      </c>
      <c r="X22" s="36"/>
      <c r="Y22" s="50">
        <v>15000</v>
      </c>
      <c r="Z22" s="99"/>
      <c r="AA22" s="99">
        <v>12000</v>
      </c>
      <c r="AB22" s="99">
        <v>3000</v>
      </c>
      <c r="AC22" s="36"/>
      <c r="AD22" s="36"/>
      <c r="AE22" s="36" t="s">
        <v>27</v>
      </c>
      <c r="AF22" s="36"/>
      <c r="AG22" s="3">
        <v>45918</v>
      </c>
      <c r="AH22" s="3" t="s">
        <v>11</v>
      </c>
      <c r="AI22" s="36">
        <f t="shared" si="0"/>
        <v>6</v>
      </c>
      <c r="AJ22" s="36"/>
      <c r="AK22" s="36">
        <v>5</v>
      </c>
      <c r="AL22" s="36">
        <v>1</v>
      </c>
      <c r="AM22" s="23">
        <f>Y22/AI22</f>
        <v>2500</v>
      </c>
    </row>
    <row r="23" spans="1:39" ht="14">
      <c r="A23" s="3">
        <v>45919</v>
      </c>
      <c r="B23" s="3" t="s">
        <v>12</v>
      </c>
      <c r="C23" s="66" t="s">
        <v>27</v>
      </c>
      <c r="D23" s="66" t="s">
        <v>27</v>
      </c>
      <c r="E23" s="70" t="s">
        <v>27</v>
      </c>
      <c r="F23" s="70" t="s">
        <v>38</v>
      </c>
      <c r="G23" s="27" t="s">
        <v>27</v>
      </c>
      <c r="H23" s="26" t="s">
        <v>27</v>
      </c>
      <c r="I23" s="26" t="s">
        <v>38</v>
      </c>
      <c r="J23" s="6"/>
      <c r="K23" s="6"/>
      <c r="L23" s="27" t="s">
        <v>38</v>
      </c>
      <c r="M23" s="26" t="s">
        <v>27</v>
      </c>
      <c r="N23" s="26" t="s">
        <v>27</v>
      </c>
      <c r="O23" s="26" t="s">
        <v>38</v>
      </c>
      <c r="P23" s="37"/>
      <c r="Q23" s="50">
        <v>50000</v>
      </c>
      <c r="R23" s="44">
        <v>30000</v>
      </c>
      <c r="S23" s="44">
        <v>15000</v>
      </c>
      <c r="T23" s="44">
        <v>5000</v>
      </c>
      <c r="U23" s="52"/>
      <c r="V23" s="36"/>
      <c r="W23" s="36" t="s">
        <v>39</v>
      </c>
      <c r="X23" s="36" t="s">
        <v>27</v>
      </c>
      <c r="Y23" s="57">
        <v>50000</v>
      </c>
      <c r="Z23" s="99">
        <v>30000</v>
      </c>
      <c r="AA23" s="99">
        <v>15000</v>
      </c>
      <c r="AB23" s="99">
        <v>5000</v>
      </c>
      <c r="AC23" s="52"/>
      <c r="AD23" s="36"/>
      <c r="AE23" s="36" t="s">
        <v>39</v>
      </c>
      <c r="AF23" s="36" t="s">
        <v>27</v>
      </c>
      <c r="AG23" s="3">
        <v>45919</v>
      </c>
      <c r="AH23" s="3" t="s">
        <v>12</v>
      </c>
      <c r="AI23" s="36">
        <f t="shared" si="0"/>
        <v>13</v>
      </c>
      <c r="AJ23" s="36">
        <v>7</v>
      </c>
      <c r="AK23" s="36">
        <v>5</v>
      </c>
      <c r="AL23" s="36">
        <v>1</v>
      </c>
      <c r="AM23" s="23">
        <f>Y23/AI23</f>
        <v>3846.1538461538462</v>
      </c>
    </row>
    <row r="24" spans="1:39" ht="14">
      <c r="A24" s="3">
        <v>45920</v>
      </c>
      <c r="B24" s="3" t="s">
        <v>13</v>
      </c>
      <c r="C24" s="66" t="s">
        <v>27</v>
      </c>
      <c r="D24" s="66" t="s">
        <v>27</v>
      </c>
      <c r="E24" s="70" t="s">
        <v>27</v>
      </c>
      <c r="F24" s="66" t="s">
        <v>27</v>
      </c>
      <c r="G24" s="27" t="s">
        <v>27</v>
      </c>
      <c r="H24" s="26" t="s">
        <v>27</v>
      </c>
      <c r="I24" s="27" t="s">
        <v>27</v>
      </c>
      <c r="J24" s="6"/>
      <c r="K24" s="27" t="s">
        <v>27</v>
      </c>
      <c r="L24" s="27" t="s">
        <v>27</v>
      </c>
      <c r="M24" s="26" t="s">
        <v>27</v>
      </c>
      <c r="N24" s="26" t="s">
        <v>27</v>
      </c>
      <c r="O24" s="27" t="s">
        <v>27</v>
      </c>
      <c r="P24" s="43" t="s">
        <v>36</v>
      </c>
      <c r="Q24" s="50">
        <v>200000</v>
      </c>
      <c r="R24" s="44">
        <v>102000</v>
      </c>
      <c r="S24" s="44">
        <v>88000</v>
      </c>
      <c r="T24" s="44">
        <v>10000</v>
      </c>
      <c r="U24" s="52"/>
      <c r="V24" s="36" t="s">
        <v>27</v>
      </c>
      <c r="W24" s="36" t="s">
        <v>27</v>
      </c>
      <c r="X24" s="36" t="s">
        <v>27</v>
      </c>
      <c r="Y24" s="57">
        <v>200000</v>
      </c>
      <c r="Z24" s="99">
        <v>102000</v>
      </c>
      <c r="AA24" s="99">
        <v>88000</v>
      </c>
      <c r="AB24" s="99">
        <v>10000</v>
      </c>
      <c r="AC24" s="52"/>
      <c r="AD24" s="36" t="s">
        <v>27</v>
      </c>
      <c r="AE24" s="36" t="s">
        <v>27</v>
      </c>
      <c r="AF24" s="36" t="s">
        <v>27</v>
      </c>
      <c r="AG24" s="3">
        <v>45920</v>
      </c>
      <c r="AH24" s="3" t="s">
        <v>13</v>
      </c>
      <c r="AI24" s="36">
        <f t="shared" si="0"/>
        <v>25</v>
      </c>
      <c r="AJ24" s="36">
        <v>12</v>
      </c>
      <c r="AK24" s="36">
        <v>10</v>
      </c>
      <c r="AL24" s="36">
        <v>3</v>
      </c>
      <c r="AM24" s="23">
        <f>Y24/AI24</f>
        <v>8000</v>
      </c>
    </row>
    <row r="25" spans="1:39" ht="14">
      <c r="A25" s="3">
        <v>45921</v>
      </c>
      <c r="B25" s="3" t="s">
        <v>14</v>
      </c>
      <c r="C25" s="65"/>
      <c r="D25" s="66" t="s">
        <v>27</v>
      </c>
      <c r="E25" s="70" t="s">
        <v>27</v>
      </c>
      <c r="F25" s="65"/>
      <c r="G25" s="27" t="s">
        <v>27</v>
      </c>
      <c r="H25" s="26" t="s">
        <v>27</v>
      </c>
      <c r="I25" s="27" t="s">
        <v>27</v>
      </c>
      <c r="J25" s="6"/>
      <c r="K25" s="6"/>
      <c r="L25" s="27" t="s">
        <v>27</v>
      </c>
      <c r="M25" s="26" t="s">
        <v>27</v>
      </c>
      <c r="N25" s="26" t="s">
        <v>27</v>
      </c>
      <c r="O25" s="27" t="s">
        <v>27</v>
      </c>
      <c r="P25" s="28"/>
      <c r="Q25" s="50">
        <v>60000</v>
      </c>
      <c r="R25" s="44">
        <v>30000</v>
      </c>
      <c r="S25" s="44">
        <v>30000</v>
      </c>
      <c r="T25" s="44"/>
      <c r="U25" s="44"/>
      <c r="V25" s="44"/>
      <c r="W25" s="44" t="s">
        <v>27</v>
      </c>
      <c r="X25" s="44" t="s">
        <v>27</v>
      </c>
      <c r="Y25" s="50">
        <v>60000</v>
      </c>
      <c r="Z25" s="99">
        <v>30000</v>
      </c>
      <c r="AA25" s="99">
        <v>30000</v>
      </c>
      <c r="AB25" s="99"/>
      <c r="AC25" s="44"/>
      <c r="AD25" s="44"/>
      <c r="AE25" s="44" t="s">
        <v>27</v>
      </c>
      <c r="AF25" s="44" t="s">
        <v>27</v>
      </c>
      <c r="AG25" s="3">
        <v>45921</v>
      </c>
      <c r="AH25" s="3" t="s">
        <v>14</v>
      </c>
      <c r="AI25" s="44">
        <f t="shared" si="0"/>
        <v>14</v>
      </c>
      <c r="AJ25" s="36">
        <v>7</v>
      </c>
      <c r="AK25" s="36">
        <v>7</v>
      </c>
      <c r="AL25" s="36"/>
      <c r="AM25" s="23">
        <f>Y25/AI25</f>
        <v>4285.7142857142853</v>
      </c>
    </row>
    <row r="26" spans="1:39" ht="14">
      <c r="A26" s="45">
        <v>45922</v>
      </c>
      <c r="B26" s="45" t="s">
        <v>15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7"/>
      <c r="Q26" s="24">
        <v>0</v>
      </c>
      <c r="R26" s="51"/>
      <c r="S26" s="51"/>
      <c r="T26" s="51"/>
      <c r="U26" s="55"/>
      <c r="V26" s="14"/>
      <c r="W26" s="14"/>
      <c r="X26" s="14"/>
      <c r="Y26" s="58">
        <v>0</v>
      </c>
      <c r="Z26" s="24"/>
      <c r="AA26" s="24"/>
      <c r="AB26" s="24"/>
      <c r="AC26" s="55"/>
      <c r="AD26" s="14"/>
      <c r="AE26" s="14"/>
      <c r="AF26" s="14"/>
      <c r="AG26" s="45">
        <v>45922</v>
      </c>
      <c r="AH26" s="45" t="s">
        <v>15</v>
      </c>
      <c r="AI26" s="14">
        <f t="shared" si="0"/>
        <v>0</v>
      </c>
      <c r="AJ26" s="36"/>
      <c r="AK26" s="36"/>
      <c r="AL26" s="36"/>
      <c r="AM26" s="23" t="e">
        <f>Y26/AI26</f>
        <v>#DIV/0!</v>
      </c>
    </row>
    <row r="27" spans="1:39" ht="14">
      <c r="A27" s="3">
        <v>45923</v>
      </c>
      <c r="B27" s="3" t="s">
        <v>9</v>
      </c>
      <c r="C27" s="66" t="s">
        <v>27</v>
      </c>
      <c r="D27" s="65"/>
      <c r="E27" s="70" t="s">
        <v>27</v>
      </c>
      <c r="F27" s="27" t="s">
        <v>27</v>
      </c>
      <c r="G27" s="27" t="s">
        <v>27</v>
      </c>
      <c r="H27" s="6"/>
      <c r="I27" s="27" t="s">
        <v>27</v>
      </c>
      <c r="J27" s="6"/>
      <c r="K27" s="6"/>
      <c r="L27" s="27" t="s">
        <v>27</v>
      </c>
      <c r="M27" s="6"/>
      <c r="N27" s="26" t="s">
        <v>27</v>
      </c>
      <c r="O27" s="6"/>
      <c r="P27" s="43"/>
      <c r="Q27" s="50">
        <v>20000</v>
      </c>
      <c r="R27" s="44"/>
      <c r="S27" s="44">
        <v>17000</v>
      </c>
      <c r="T27" s="44">
        <v>3000</v>
      </c>
      <c r="U27" s="52"/>
      <c r="V27" s="36"/>
      <c r="W27" s="36" t="s">
        <v>27</v>
      </c>
      <c r="X27" s="36"/>
      <c r="Y27" s="57">
        <v>20000</v>
      </c>
      <c r="Z27" s="99"/>
      <c r="AA27" s="99">
        <v>17000</v>
      </c>
      <c r="AB27" s="99">
        <v>3000</v>
      </c>
      <c r="AC27" s="52"/>
      <c r="AD27" s="36"/>
      <c r="AE27" s="36" t="s">
        <v>27</v>
      </c>
      <c r="AF27" s="36"/>
      <c r="AG27" s="3">
        <v>45923</v>
      </c>
      <c r="AH27" s="3" t="s">
        <v>9</v>
      </c>
      <c r="AI27" s="36">
        <f t="shared" si="0"/>
        <v>5</v>
      </c>
      <c r="AJ27" s="36"/>
      <c r="AK27" s="36">
        <v>4</v>
      </c>
      <c r="AL27" s="36">
        <v>1</v>
      </c>
      <c r="AM27" s="23">
        <f>Y27/AI27</f>
        <v>4000</v>
      </c>
    </row>
    <row r="28" spans="1:39" ht="14">
      <c r="A28" s="3">
        <v>45924</v>
      </c>
      <c r="B28" s="3" t="s">
        <v>10</v>
      </c>
      <c r="C28" s="66" t="s">
        <v>27</v>
      </c>
      <c r="D28" s="66" t="s">
        <v>27</v>
      </c>
      <c r="E28" s="65"/>
      <c r="F28" s="27" t="s">
        <v>27</v>
      </c>
      <c r="G28" s="27" t="s">
        <v>27</v>
      </c>
      <c r="H28" s="26" t="s">
        <v>27</v>
      </c>
      <c r="I28" s="6"/>
      <c r="J28" s="6"/>
      <c r="K28" s="6"/>
      <c r="L28" s="27" t="s">
        <v>27</v>
      </c>
      <c r="M28" s="6"/>
      <c r="N28" s="26" t="s">
        <v>27</v>
      </c>
      <c r="O28" s="27" t="s">
        <v>27</v>
      </c>
      <c r="P28" s="28"/>
      <c r="Q28" s="50">
        <v>20000</v>
      </c>
      <c r="R28" s="44">
        <v>18000</v>
      </c>
      <c r="S28" s="44"/>
      <c r="T28" s="44">
        <v>2000</v>
      </c>
      <c r="U28" s="52"/>
      <c r="V28" s="36"/>
      <c r="W28" s="36" t="s">
        <v>27</v>
      </c>
      <c r="X28" s="36"/>
      <c r="Y28" s="57">
        <v>20000</v>
      </c>
      <c r="Z28" s="99">
        <v>18000</v>
      </c>
      <c r="AA28" s="99"/>
      <c r="AB28" s="99">
        <v>2000</v>
      </c>
      <c r="AC28" s="52"/>
      <c r="AD28" s="36"/>
      <c r="AE28" s="36" t="s">
        <v>27</v>
      </c>
      <c r="AF28" s="36"/>
      <c r="AG28" s="3">
        <v>45924</v>
      </c>
      <c r="AH28" s="3" t="s">
        <v>10</v>
      </c>
      <c r="AI28" s="36">
        <f t="shared" si="0"/>
        <v>6</v>
      </c>
      <c r="AJ28" s="36">
        <v>5</v>
      </c>
      <c r="AK28" s="36"/>
      <c r="AL28" s="36">
        <v>1</v>
      </c>
      <c r="AM28" s="23">
        <f>Y28/AI28</f>
        <v>3333.3333333333335</v>
      </c>
    </row>
    <row r="29" spans="1:39" ht="14">
      <c r="A29" s="3">
        <v>45925</v>
      </c>
      <c r="B29" s="3" t="s">
        <v>11</v>
      </c>
      <c r="C29" s="66" t="s">
        <v>27</v>
      </c>
      <c r="D29" s="66" t="s">
        <v>27</v>
      </c>
      <c r="E29" s="69"/>
      <c r="F29" s="27" t="s">
        <v>27</v>
      </c>
      <c r="G29" s="6"/>
      <c r="H29" s="26" t="s">
        <v>27</v>
      </c>
      <c r="I29" s="27" t="s">
        <v>27</v>
      </c>
      <c r="J29" s="6"/>
      <c r="K29" s="6"/>
      <c r="L29" s="27" t="s">
        <v>27</v>
      </c>
      <c r="M29" s="27" t="s">
        <v>27</v>
      </c>
      <c r="N29" s="6"/>
      <c r="O29" s="27" t="s">
        <v>27</v>
      </c>
      <c r="P29" s="28"/>
      <c r="Q29" s="50">
        <v>25000</v>
      </c>
      <c r="R29" s="36">
        <v>20000</v>
      </c>
      <c r="S29" s="36"/>
      <c r="T29" s="36">
        <v>5000</v>
      </c>
      <c r="U29" s="36"/>
      <c r="V29" s="36"/>
      <c r="W29" s="36" t="s">
        <v>27</v>
      </c>
      <c r="X29" s="36" t="s">
        <v>27</v>
      </c>
      <c r="Y29" s="50">
        <v>25000</v>
      </c>
      <c r="Z29" s="99">
        <v>20000</v>
      </c>
      <c r="AA29" s="99"/>
      <c r="AB29" s="99">
        <v>5000</v>
      </c>
      <c r="AC29" s="36"/>
      <c r="AD29" s="36"/>
      <c r="AE29" s="36" t="s">
        <v>27</v>
      </c>
      <c r="AF29" s="36" t="s">
        <v>27</v>
      </c>
      <c r="AG29" s="3">
        <v>45925</v>
      </c>
      <c r="AH29" s="3" t="s">
        <v>11</v>
      </c>
      <c r="AI29" s="36">
        <f t="shared" si="0"/>
        <v>7</v>
      </c>
      <c r="AJ29" s="36">
        <v>6</v>
      </c>
      <c r="AK29" s="36"/>
      <c r="AL29" s="36">
        <v>1</v>
      </c>
      <c r="AM29" s="23">
        <f>Y29/AI29</f>
        <v>3571.4285714285716</v>
      </c>
    </row>
    <row r="30" spans="1:39" ht="14">
      <c r="A30" s="3">
        <v>45926</v>
      </c>
      <c r="B30" s="3" t="s">
        <v>12</v>
      </c>
      <c r="C30" s="66" t="s">
        <v>27</v>
      </c>
      <c r="D30" s="66" t="s">
        <v>27</v>
      </c>
      <c r="E30" s="70" t="s">
        <v>38</v>
      </c>
      <c r="F30" s="27" t="s">
        <v>27</v>
      </c>
      <c r="G30" s="26" t="s">
        <v>38</v>
      </c>
      <c r="H30" s="26" t="s">
        <v>27</v>
      </c>
      <c r="I30" s="27" t="s">
        <v>27</v>
      </c>
      <c r="J30" s="6"/>
      <c r="K30" s="27" t="s">
        <v>27</v>
      </c>
      <c r="L30" s="6"/>
      <c r="M30" s="27" t="s">
        <v>27</v>
      </c>
      <c r="N30" s="26" t="s">
        <v>38</v>
      </c>
      <c r="O30" s="27" t="s">
        <v>27</v>
      </c>
      <c r="P30" s="28"/>
      <c r="Q30" s="50">
        <v>50000</v>
      </c>
      <c r="R30" s="44">
        <v>30000</v>
      </c>
      <c r="S30" s="44">
        <v>18000</v>
      </c>
      <c r="T30" s="44">
        <v>2000</v>
      </c>
      <c r="U30" s="52"/>
      <c r="V30" s="36" t="s">
        <v>27</v>
      </c>
      <c r="W30" s="36"/>
      <c r="X30" s="36" t="s">
        <v>27</v>
      </c>
      <c r="Y30" s="57">
        <v>50000</v>
      </c>
      <c r="Z30" s="99">
        <v>30000</v>
      </c>
      <c r="AA30" s="99">
        <v>18000</v>
      </c>
      <c r="AB30" s="99">
        <v>2000</v>
      </c>
      <c r="AC30" s="52"/>
      <c r="AD30" s="36" t="s">
        <v>27</v>
      </c>
      <c r="AE30" s="36"/>
      <c r="AF30" s="36" t="s">
        <v>27</v>
      </c>
      <c r="AG30" s="3">
        <v>45926</v>
      </c>
      <c r="AH30" s="3" t="s">
        <v>12</v>
      </c>
      <c r="AI30" s="36">
        <f t="shared" si="0"/>
        <v>13</v>
      </c>
      <c r="AJ30" s="36">
        <v>7</v>
      </c>
      <c r="AK30" s="36">
        <v>5</v>
      </c>
      <c r="AL30" s="36">
        <v>1</v>
      </c>
      <c r="AM30" s="23">
        <f>Y30/AI30</f>
        <v>3846.1538461538462</v>
      </c>
    </row>
    <row r="31" spans="1:39" ht="14">
      <c r="A31" s="3">
        <v>45927</v>
      </c>
      <c r="B31" s="3" t="s">
        <v>13</v>
      </c>
      <c r="C31" s="66" t="s">
        <v>27</v>
      </c>
      <c r="D31" s="66" t="s">
        <v>27</v>
      </c>
      <c r="E31" s="70" t="s">
        <v>27</v>
      </c>
      <c r="F31" s="27" t="s">
        <v>27</v>
      </c>
      <c r="G31" s="27" t="s">
        <v>27</v>
      </c>
      <c r="H31" s="26" t="s">
        <v>27</v>
      </c>
      <c r="I31" s="27" t="s">
        <v>27</v>
      </c>
      <c r="J31" s="41" t="s">
        <v>27</v>
      </c>
      <c r="K31" s="6"/>
      <c r="L31" s="27" t="s">
        <v>27</v>
      </c>
      <c r="M31" s="26" t="s">
        <v>27</v>
      </c>
      <c r="N31" s="26" t="s">
        <v>27</v>
      </c>
      <c r="O31" s="27" t="s">
        <v>27</v>
      </c>
      <c r="P31" s="42" t="s">
        <v>37</v>
      </c>
      <c r="Q31" s="50">
        <v>220000</v>
      </c>
      <c r="R31" s="44">
        <v>130000</v>
      </c>
      <c r="S31" s="44">
        <v>70000</v>
      </c>
      <c r="T31" s="44">
        <v>20000</v>
      </c>
      <c r="U31" s="52" t="s">
        <v>27</v>
      </c>
      <c r="V31" s="36"/>
      <c r="W31" s="36" t="s">
        <v>27</v>
      </c>
      <c r="X31" s="36" t="s">
        <v>27</v>
      </c>
      <c r="Y31" s="57">
        <v>220000</v>
      </c>
      <c r="Z31" s="99">
        <v>130000</v>
      </c>
      <c r="AA31" s="99">
        <v>70000</v>
      </c>
      <c r="AB31" s="99">
        <v>20000</v>
      </c>
      <c r="AC31" s="52" t="s">
        <v>27</v>
      </c>
      <c r="AD31" s="36"/>
      <c r="AE31" s="36" t="s">
        <v>27</v>
      </c>
      <c r="AF31" s="36" t="s">
        <v>27</v>
      </c>
      <c r="AG31" s="3">
        <v>45927</v>
      </c>
      <c r="AH31" s="3" t="s">
        <v>13</v>
      </c>
      <c r="AI31" s="36">
        <f t="shared" si="0"/>
        <v>25</v>
      </c>
      <c r="AJ31" s="36">
        <v>13</v>
      </c>
      <c r="AK31" s="36">
        <v>9</v>
      </c>
      <c r="AL31" s="36">
        <v>3</v>
      </c>
      <c r="AM31" s="23">
        <f>Y31/AI31</f>
        <v>8800</v>
      </c>
    </row>
    <row r="32" spans="1:39" ht="14">
      <c r="A32" s="3">
        <v>45928</v>
      </c>
      <c r="B32" s="3" t="s">
        <v>14</v>
      </c>
      <c r="C32" s="20"/>
      <c r="D32" s="20"/>
      <c r="E32" s="63" t="s">
        <v>27</v>
      </c>
      <c r="F32" s="40" t="s">
        <v>27</v>
      </c>
      <c r="G32" s="40" t="s">
        <v>27</v>
      </c>
      <c r="H32" s="63" t="s">
        <v>27</v>
      </c>
      <c r="I32" s="40" t="s">
        <v>27</v>
      </c>
      <c r="J32" s="6"/>
      <c r="K32" s="6"/>
      <c r="L32" s="40" t="s">
        <v>27</v>
      </c>
      <c r="M32" s="63" t="s">
        <v>27</v>
      </c>
      <c r="N32" s="63" t="s">
        <v>27</v>
      </c>
      <c r="O32" s="40" t="s">
        <v>27</v>
      </c>
      <c r="P32" s="28"/>
      <c r="Q32" s="50">
        <v>60000</v>
      </c>
      <c r="R32" s="44"/>
      <c r="S32" s="44">
        <v>52000</v>
      </c>
      <c r="T32" s="44">
        <v>8000</v>
      </c>
      <c r="U32" s="44"/>
      <c r="V32" s="44"/>
      <c r="W32" s="44" t="s">
        <v>27</v>
      </c>
      <c r="X32" s="44" t="s">
        <v>27</v>
      </c>
      <c r="Y32" s="50">
        <v>60000</v>
      </c>
      <c r="Z32" s="99"/>
      <c r="AA32" s="99">
        <v>52000</v>
      </c>
      <c r="AB32" s="99">
        <v>8000</v>
      </c>
      <c r="AC32" s="44"/>
      <c r="AD32" s="44"/>
      <c r="AE32" s="44" t="s">
        <v>27</v>
      </c>
      <c r="AF32" s="44" t="s">
        <v>27</v>
      </c>
      <c r="AG32" s="3">
        <v>45928</v>
      </c>
      <c r="AH32" s="3" t="s">
        <v>14</v>
      </c>
      <c r="AI32" s="44">
        <f t="shared" si="0"/>
        <v>12</v>
      </c>
      <c r="AJ32" s="36"/>
      <c r="AK32" s="36">
        <v>9</v>
      </c>
      <c r="AL32" s="36">
        <v>3</v>
      </c>
      <c r="AM32" s="23">
        <f>Y32/AI32</f>
        <v>5000</v>
      </c>
    </row>
    <row r="33" spans="1:39" ht="14">
      <c r="A33" s="45">
        <v>45929</v>
      </c>
      <c r="B33" s="45" t="s">
        <v>15</v>
      </c>
      <c r="C33" s="48"/>
      <c r="D33" s="48"/>
      <c r="E33" s="48"/>
      <c r="F33" s="48"/>
      <c r="G33" s="48"/>
      <c r="H33" s="48"/>
      <c r="I33" s="48"/>
      <c r="J33" s="46"/>
      <c r="K33" s="46"/>
      <c r="L33" s="48"/>
      <c r="M33" s="48"/>
      <c r="N33" s="48"/>
      <c r="O33" s="48"/>
      <c r="P33" s="47"/>
      <c r="Q33" s="24"/>
      <c r="R33" s="51"/>
      <c r="S33" s="51"/>
      <c r="T33" s="51"/>
      <c r="U33" s="55"/>
      <c r="V33" s="14"/>
      <c r="W33" s="14"/>
      <c r="X33" s="14"/>
      <c r="Y33" s="61"/>
      <c r="Z33" s="24"/>
      <c r="AA33" s="24"/>
      <c r="AB33" s="24"/>
      <c r="AC33" s="55"/>
      <c r="AD33" s="14"/>
      <c r="AE33" s="14"/>
      <c r="AF33" s="14"/>
      <c r="AG33" s="45">
        <v>45929</v>
      </c>
      <c r="AH33" s="45" t="s">
        <v>15</v>
      </c>
      <c r="AI33" s="14">
        <f t="shared" si="0"/>
        <v>0</v>
      </c>
      <c r="AJ33" s="36"/>
      <c r="AK33" s="36"/>
      <c r="AL33" s="36"/>
      <c r="AM33" s="23" t="e">
        <f>Y33/AI33</f>
        <v>#DIV/0!</v>
      </c>
    </row>
    <row r="34" spans="1:39" ht="14">
      <c r="A34" s="3">
        <v>45930</v>
      </c>
      <c r="B34" s="3" t="s">
        <v>9</v>
      </c>
      <c r="C34" s="66" t="s">
        <v>27</v>
      </c>
      <c r="D34" s="20"/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/>
      <c r="K34" s="27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28"/>
      <c r="Q34" s="50">
        <v>30000</v>
      </c>
      <c r="R34" s="44">
        <v>16000</v>
      </c>
      <c r="S34" s="44">
        <v>12000</v>
      </c>
      <c r="T34" s="44">
        <v>2000</v>
      </c>
      <c r="U34" s="52"/>
      <c r="V34" s="36" t="s">
        <v>27</v>
      </c>
      <c r="W34" s="36" t="s">
        <v>27</v>
      </c>
      <c r="X34" s="36" t="s">
        <v>27</v>
      </c>
      <c r="Y34" s="62">
        <v>30000</v>
      </c>
      <c r="Z34" s="99">
        <v>16000</v>
      </c>
      <c r="AA34" s="99">
        <v>12000</v>
      </c>
      <c r="AB34" s="99">
        <v>2000</v>
      </c>
      <c r="AC34" s="52"/>
      <c r="AD34" s="36" t="s">
        <v>27</v>
      </c>
      <c r="AE34" s="36" t="s">
        <v>27</v>
      </c>
      <c r="AF34" s="36" t="s">
        <v>27</v>
      </c>
      <c r="AG34" s="3">
        <v>45930</v>
      </c>
      <c r="AH34" s="3" t="s">
        <v>9</v>
      </c>
      <c r="AI34" s="36">
        <f t="shared" si="0"/>
        <v>7</v>
      </c>
      <c r="AJ34" s="36">
        <v>3</v>
      </c>
      <c r="AK34" s="36">
        <v>3</v>
      </c>
      <c r="AL34" s="36">
        <v>1</v>
      </c>
      <c r="AM34" s="23">
        <f>Y34/AI34</f>
        <v>4285.7142857142853</v>
      </c>
    </row>
    <row r="35" spans="1:39">
      <c r="Q35" s="25">
        <f t="shared" ref="Q35:AF35" si="1">SUM(Q5:Q34)</f>
        <v>1500000</v>
      </c>
      <c r="R35" s="21">
        <f t="shared" si="1"/>
        <v>742500</v>
      </c>
      <c r="S35" s="21">
        <f t="shared" si="1"/>
        <v>607500</v>
      </c>
      <c r="T35" s="21">
        <f t="shared" si="1"/>
        <v>150000</v>
      </c>
      <c r="U35" s="21">
        <f t="shared" si="1"/>
        <v>0</v>
      </c>
      <c r="V35" s="21">
        <f t="shared" si="1"/>
        <v>0</v>
      </c>
      <c r="W35" s="21">
        <f t="shared" si="1"/>
        <v>0</v>
      </c>
      <c r="X35" s="21">
        <f t="shared" si="1"/>
        <v>0</v>
      </c>
      <c r="Y35" s="59">
        <f t="shared" si="1"/>
        <v>1500000</v>
      </c>
      <c r="Z35" s="100">
        <f t="shared" si="1"/>
        <v>742500</v>
      </c>
      <c r="AA35" s="100">
        <f t="shared" si="1"/>
        <v>607500</v>
      </c>
      <c r="AB35" s="100">
        <f t="shared" si="1"/>
        <v>150000</v>
      </c>
      <c r="AC35" s="60">
        <f t="shared" si="1"/>
        <v>0</v>
      </c>
      <c r="AD35" s="60">
        <f t="shared" si="1"/>
        <v>0</v>
      </c>
      <c r="AE35" s="60">
        <f t="shared" si="1"/>
        <v>0</v>
      </c>
      <c r="AF35" s="60">
        <f t="shared" si="1"/>
        <v>0</v>
      </c>
      <c r="AI35" s="60">
        <f>SUM(AI6:AI34)</f>
        <v>283</v>
      </c>
      <c r="AJ35" s="60">
        <f t="shared" ref="AJ35:AL35" si="2">SUM(AJ6:AJ34)</f>
        <v>130</v>
      </c>
      <c r="AK35" s="60">
        <f t="shared" si="2"/>
        <v>119</v>
      </c>
      <c r="AL35" s="60">
        <f t="shared" si="2"/>
        <v>34</v>
      </c>
    </row>
    <row r="36" spans="1:39" ht="15">
      <c r="J36" s="11"/>
      <c r="K36" s="11"/>
      <c r="L36" s="11"/>
      <c r="M36" s="11"/>
      <c r="N36" s="11"/>
      <c r="Y36" s="49"/>
    </row>
    <row r="37" spans="1:39" ht="15">
      <c r="K37" s="12"/>
      <c r="L37" s="13"/>
      <c r="M37" s="13"/>
      <c r="N37" s="13"/>
      <c r="Y37" s="49"/>
    </row>
    <row r="38" spans="1:39" ht="15">
      <c r="Y38" s="49"/>
    </row>
    <row r="42" spans="1:39">
      <c r="S42" s="22"/>
    </row>
  </sheetData>
  <mergeCells count="19">
    <mergeCell ref="AI3:AL3"/>
    <mergeCell ref="AG1:AH1"/>
    <mergeCell ref="AG2:AH4"/>
    <mergeCell ref="A2:B4"/>
    <mergeCell ref="A1:B1"/>
    <mergeCell ref="C2:O2"/>
    <mergeCell ref="AC3:AF3"/>
    <mergeCell ref="Y2:AF2"/>
    <mergeCell ref="J3:M3"/>
    <mergeCell ref="N3:O3"/>
    <mergeCell ref="P3:P4"/>
    <mergeCell ref="Z3:AB3"/>
    <mergeCell ref="Y3:Y4"/>
    <mergeCell ref="D3:F3"/>
    <mergeCell ref="G3:I3"/>
    <mergeCell ref="Q2:X2"/>
    <mergeCell ref="R3:T3"/>
    <mergeCell ref="U3:X3"/>
    <mergeCell ref="Q3:Q4"/>
  </mergeCells>
  <phoneticPr fontId="5" type="noConversion"/>
  <pageMargins left="0.75" right="0.75" top="1" bottom="1" header="0.5" footer="0.5"/>
  <headerFooter>
    <oddFooter>&amp;C_x000D_&amp;1#&amp;"arial"&amp;9&amp;K008000 C1 - Internal use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2025-06-24T16:53:00Z</dcterms:created>
  <dcterms:modified xsi:type="dcterms:W3CDTF">2025-08-29T13:50:38Z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5C393C6A882506DAF4155968BA37ADF7_41</vt:lpwstr>
  </property>
  <property fmtid="{D5CDD505-2E9C-101B-9397-08002B2CF9AE}" pid="3" name="KSOProductBuildVer">
    <vt:lpwstr>2052-5.5.1.7991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2025-07-30T11:37:32Z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2d63fc05-bef0-40ee-97be-4ebbdaff35c9</vt:lpwstr>
  </property>
  <property fmtid="{D5CDD505-2E9C-101B-9397-08002B2CF9AE}" pid="10" name="MSIP_Label_f43b7177-c66c-4b22-a350-7ee86f9a1e74_ContentBits">
    <vt:lpwstr>2</vt:lpwstr>
  </property>
</Properties>
</file>