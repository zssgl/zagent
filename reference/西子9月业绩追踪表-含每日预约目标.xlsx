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77331A75-892E-4FC1-A421-D56697BC89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5" i="1" l="1"/>
  <c r="AU35" i="1"/>
  <c r="AV35" i="1"/>
  <c r="AW35" i="1"/>
  <c r="AX35" i="1"/>
  <c r="AY35" i="1"/>
  <c r="AZ6" i="1"/>
  <c r="AZ5" i="1"/>
  <c r="AS6" i="1"/>
  <c r="AS7" i="1"/>
  <c r="AZ7" i="1" s="1"/>
  <c r="AS8" i="1"/>
  <c r="AZ8" i="1" s="1"/>
  <c r="AS9" i="1"/>
  <c r="AZ9" i="1" s="1"/>
  <c r="AS10" i="1"/>
  <c r="AZ10" i="1" s="1"/>
  <c r="AS11" i="1"/>
  <c r="AZ11" i="1" s="1"/>
  <c r="AS12" i="1"/>
  <c r="AZ12" i="1" s="1"/>
  <c r="AS13" i="1"/>
  <c r="AZ13" i="1" s="1"/>
  <c r="AS14" i="1"/>
  <c r="AZ14" i="1" s="1"/>
  <c r="AS15" i="1"/>
  <c r="AZ15" i="1" s="1"/>
  <c r="AS16" i="1"/>
  <c r="AZ16" i="1" s="1"/>
  <c r="AS17" i="1"/>
  <c r="AZ17" i="1" s="1"/>
  <c r="AS18" i="1"/>
  <c r="AZ18" i="1" s="1"/>
  <c r="AS19" i="1"/>
  <c r="AZ19" i="1" s="1"/>
  <c r="AS20" i="1"/>
  <c r="AZ20" i="1" s="1"/>
  <c r="AS21" i="1"/>
  <c r="AZ21" i="1" s="1"/>
  <c r="AS22" i="1"/>
  <c r="AZ22" i="1" s="1"/>
  <c r="AS23" i="1"/>
  <c r="AZ23" i="1" s="1"/>
  <c r="AS24" i="1"/>
  <c r="AZ24" i="1" s="1"/>
  <c r="AS25" i="1"/>
  <c r="AZ25" i="1" s="1"/>
  <c r="AS26" i="1"/>
  <c r="AZ26" i="1" s="1"/>
  <c r="AS27" i="1"/>
  <c r="AZ27" i="1" s="1"/>
  <c r="AS28" i="1"/>
  <c r="AZ28" i="1" s="1"/>
  <c r="AS29" i="1"/>
  <c r="AZ29" i="1" s="1"/>
  <c r="AS30" i="1"/>
  <c r="AZ30" i="1" s="1"/>
  <c r="AS31" i="1"/>
  <c r="AZ31" i="1" s="1"/>
  <c r="AS32" i="1"/>
  <c r="AZ32" i="1" s="1"/>
  <c r="AS33" i="1"/>
  <c r="AZ33" i="1" s="1"/>
  <c r="AS34" i="1"/>
  <c r="AZ34" i="1" s="1"/>
  <c r="AS5" i="1"/>
  <c r="AS35" i="1" l="1"/>
  <c r="AZ35" i="1" s="1"/>
  <c r="AM35" i="1" l="1"/>
  <c r="AL35" i="1"/>
  <c r="AK35" i="1"/>
  <c r="AJ35" i="1"/>
  <c r="AI35" i="1"/>
  <c r="AH35" i="1"/>
  <c r="AA35" i="1"/>
  <c r="Z35" i="1"/>
  <c r="Y35" i="1"/>
  <c r="X35" i="1"/>
  <c r="W35" i="1"/>
  <c r="V35" i="1"/>
  <c r="U35" i="1"/>
  <c r="T35" i="1"/>
  <c r="S35" i="1"/>
  <c r="R35" i="1"/>
  <c r="AG34" i="1"/>
  <c r="Q34" i="1"/>
  <c r="AG33" i="1"/>
  <c r="Q33" i="1"/>
  <c r="AG32" i="1"/>
  <c r="Q32" i="1"/>
  <c r="AG31" i="1"/>
  <c r="Q31" i="1"/>
  <c r="AG30" i="1"/>
  <c r="Q30" i="1"/>
  <c r="AG29" i="1"/>
  <c r="Q29" i="1"/>
  <c r="AG28" i="1"/>
  <c r="Q28" i="1"/>
  <c r="AG27" i="1"/>
  <c r="Q27" i="1"/>
  <c r="AG26" i="1"/>
  <c r="Q26" i="1"/>
  <c r="AG25" i="1"/>
  <c r="Q25" i="1"/>
  <c r="AG24" i="1"/>
  <c r="Q24" i="1"/>
  <c r="AG23" i="1"/>
  <c r="Q23" i="1"/>
  <c r="AG22" i="1"/>
  <c r="Q22" i="1"/>
  <c r="AG21" i="1"/>
  <c r="Q21" i="1"/>
  <c r="AG20" i="1"/>
  <c r="Q20" i="1"/>
  <c r="AG19" i="1"/>
  <c r="Q19" i="1"/>
  <c r="AG18" i="1"/>
  <c r="Q18" i="1"/>
  <c r="AG17" i="1"/>
  <c r="Q17" i="1"/>
  <c r="AG16" i="1"/>
  <c r="Q16" i="1"/>
  <c r="AG15" i="1"/>
  <c r="Q15" i="1"/>
  <c r="AG14" i="1"/>
  <c r="Q14" i="1"/>
  <c r="AG13" i="1"/>
  <c r="Q13" i="1"/>
  <c r="AG12" i="1"/>
  <c r="Q12" i="1"/>
  <c r="AG11" i="1"/>
  <c r="Q11" i="1"/>
  <c r="AG10" i="1"/>
  <c r="Q10" i="1"/>
  <c r="AG9" i="1"/>
  <c r="Q9" i="1"/>
  <c r="AG8" i="1"/>
  <c r="Q8" i="1"/>
  <c r="AG7" i="1"/>
  <c r="Q7" i="1"/>
  <c r="AG6" i="1"/>
  <c r="Q6" i="1"/>
  <c r="AG5" i="1"/>
  <c r="Q5" i="1"/>
  <c r="Q35" i="1" l="1"/>
  <c r="AG35" i="1"/>
</calcChain>
</file>

<file path=xl/sharedStrings.xml><?xml version="1.0" encoding="utf-8"?>
<sst xmlns="http://schemas.openxmlformats.org/spreadsheetml/2006/main" count="463" uniqueCount="55">
  <si>
    <t>门店</t>
  </si>
  <si>
    <t>日期</t>
  </si>
  <si>
    <t>排班</t>
  </si>
  <si>
    <t>开单</t>
  </si>
  <si>
    <r>
      <rPr>
        <b/>
        <sz val="10"/>
        <color theme="1"/>
        <rFont val="等线"/>
      </rPr>
      <t>消耗目标</t>
    </r>
    <r>
      <rPr>
        <sz val="10"/>
        <color rgb="FFFF0000"/>
        <rFont val="等线"/>
      </rPr>
      <t>（每日：门店目标=健康管理人消耗目标）</t>
    </r>
  </si>
  <si>
    <t>营运经理</t>
  </si>
  <si>
    <t>咨询</t>
  </si>
  <si>
    <t>护士</t>
  </si>
  <si>
    <t>客服</t>
  </si>
  <si>
    <t>专家日</t>
  </si>
  <si>
    <t>专场/沙龙</t>
  </si>
  <si>
    <t>医生排班</t>
  </si>
  <si>
    <r>
      <rPr>
        <b/>
        <sz val="10"/>
        <color theme="1"/>
        <rFont val="等线"/>
      </rPr>
      <t>健康管理人</t>
    </r>
    <r>
      <rPr>
        <sz val="10"/>
        <color theme="1"/>
        <rFont val="等线"/>
      </rPr>
      <t>（含管理顾客的咨询及护士）</t>
    </r>
  </si>
  <si>
    <t>魏思琳</t>
  </si>
  <si>
    <t>王梦瑶</t>
  </si>
  <si>
    <t>徐莹</t>
  </si>
  <si>
    <t>汪雅珍</t>
  </si>
  <si>
    <t>李玉苗</t>
  </si>
  <si>
    <t>曹正惠</t>
  </si>
  <si>
    <t>孙曼</t>
  </si>
  <si>
    <t>邓雅琪</t>
  </si>
  <si>
    <t>李佳萱</t>
  </si>
  <si>
    <t>吴辉</t>
  </si>
  <si>
    <t>解静静</t>
  </si>
  <si>
    <t>魏思琳
（880000）</t>
  </si>
  <si>
    <t>王梦瑶
（880000）</t>
  </si>
  <si>
    <t>张馨丹
（100000）</t>
  </si>
  <si>
    <t>季玉
（100000）</t>
  </si>
  <si>
    <t>徐莹
（474000）</t>
  </si>
  <si>
    <t>汪雅珍
（18000）</t>
  </si>
  <si>
    <t>李玉苗
（16000）</t>
  </si>
  <si>
    <t>曹正惠
（8000）</t>
  </si>
  <si>
    <t>孙曼
（7000）</t>
  </si>
  <si>
    <t>邓雅琪
（7000）</t>
  </si>
  <si>
    <t>宋为民</t>
  </si>
  <si>
    <t>江晓玲</t>
  </si>
  <si>
    <t>虞泽伟</t>
  </si>
  <si>
    <t>张馨丹</t>
  </si>
  <si>
    <t>季玉</t>
  </si>
  <si>
    <t>Y</t>
  </si>
  <si>
    <t>沈院坐诊</t>
  </si>
  <si>
    <t>手术</t>
  </si>
  <si>
    <t>Y下午</t>
  </si>
  <si>
    <t xml:space="preserve">  </t>
  </si>
  <si>
    <t>汇总</t>
  </si>
  <si>
    <t>周一</t>
    <phoneticPr fontId="6" type="noConversion"/>
  </si>
  <si>
    <t>周二</t>
    <phoneticPr fontId="6" type="noConversion"/>
  </si>
  <si>
    <t>周三</t>
    <phoneticPr fontId="6" type="noConversion"/>
  </si>
  <si>
    <t>周四</t>
    <phoneticPr fontId="6" type="noConversion"/>
  </si>
  <si>
    <t>周五</t>
    <phoneticPr fontId="6" type="noConversion"/>
  </si>
  <si>
    <t>周六</t>
    <phoneticPr fontId="6" type="noConversion"/>
  </si>
  <si>
    <t>周日</t>
    <phoneticPr fontId="6" type="noConversion"/>
  </si>
  <si>
    <t>预约人数目标</t>
    <phoneticPr fontId="6" type="noConversion"/>
  </si>
  <si>
    <t>合计</t>
    <phoneticPr fontId="6" type="noConversion"/>
  </si>
  <si>
    <t>客单计算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</si>
</sst>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80" formatCode="_ * #,##0_ ;_ * \-#,##0_ ;_ * &quot;-&quot;??_ ;_ @_ "/>
  </numFmts>
  <fonts count="7">
    <font>
      <sz val="11"/>
      <color theme="1"/>
      <name val="宋体"/>
      <charset val="134"/>
      <scheme val="minor"/>
    </font>
    <font>
      <sz val="10"/>
      <color theme="1"/>
      <name val="等线"/>
    </font>
    <font>
      <b/>
      <sz val="10"/>
      <color theme="1"/>
      <name val="等线"/>
    </font>
    <font>
      <b/>
      <sz val="10"/>
      <name val="等线"/>
    </font>
    <font>
      <sz val="10"/>
      <color rgb="FFFF0000"/>
      <name val="等线"/>
    </font>
    <font>
      <sz val="11"/>
      <color theme="1"/>
      <name val="宋体"/>
      <scheme val="minor"/>
    </font>
    <font>
      <sz val="9"/>
      <name val="宋体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43" fontId="5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80" fontId="1" fillId="0" borderId="0" xfId="1" applyNumberFormat="1" applyFont="1" applyFill="1" applyAlignment="1">
      <alignment horizontal="center" vertical="center"/>
    </xf>
    <xf numFmtId="180" fontId="2" fillId="5" borderId="8" xfId="1" applyNumberFormat="1" applyFont="1" applyFill="1" applyBorder="1" applyAlignment="1">
      <alignment horizontal="center" vertical="center" wrapText="1"/>
    </xf>
    <xf numFmtId="180" fontId="2" fillId="5" borderId="8" xfId="1" applyNumberFormat="1" applyFont="1" applyFill="1" applyBorder="1" applyAlignment="1">
      <alignment horizontal="center" vertical="center"/>
    </xf>
    <xf numFmtId="180" fontId="1" fillId="0" borderId="4" xfId="1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180" fontId="1" fillId="0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5"/>
  <sheetViews>
    <sheetView tabSelected="1" topLeftCell="Y1" zoomScale="60" zoomScaleNormal="60" workbookViewId="0">
      <selection activeCell="AQ22" sqref="AQ22"/>
    </sheetView>
  </sheetViews>
  <sheetFormatPr defaultColWidth="9.1796875" defaultRowHeight="13"/>
  <cols>
    <col min="1" max="2" width="9.1796875" style="1"/>
    <col min="3" max="15" width="9.1796875" style="1" customWidth="1"/>
    <col min="16" max="16" width="10.6328125" style="1" customWidth="1"/>
    <col min="17" max="17" width="14" style="1" customWidth="1"/>
    <col min="18" max="20" width="10.7265625" style="1" customWidth="1"/>
    <col min="21" max="21" width="10.90625" style="1" customWidth="1"/>
    <col min="22" max="30" width="9.81640625" style="1" customWidth="1"/>
    <col min="31" max="31" width="9.1796875" style="1"/>
    <col min="32" max="32" width="9.81640625" style="1" customWidth="1"/>
    <col min="33" max="33" width="11.7265625" style="38" customWidth="1"/>
    <col min="34" max="38" width="9.90625" style="1" customWidth="1"/>
    <col min="39" max="39" width="10.26953125" style="1" customWidth="1"/>
    <col min="40" max="41" width="9.81640625" style="1" customWidth="1"/>
    <col min="42" max="43" width="9.1796875" style="1"/>
    <col min="44" max="45" width="9.81640625" style="1" customWidth="1"/>
    <col min="46" max="16384" width="9.1796875" style="1"/>
  </cols>
  <sheetData>
    <row r="1" spans="1:53" ht="13.5" thickBot="1"/>
    <row r="2" spans="1:53">
      <c r="A2" s="31" t="s">
        <v>0</v>
      </c>
      <c r="B2" s="33" t="s">
        <v>1</v>
      </c>
      <c r="C2" s="11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 t="s">
        <v>3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5"/>
      <c r="AE2" s="33" t="s">
        <v>1</v>
      </c>
      <c r="AF2" s="37"/>
      <c r="AG2" s="16" t="s">
        <v>4</v>
      </c>
      <c r="AH2" s="17"/>
      <c r="AI2" s="17"/>
      <c r="AJ2" s="17"/>
      <c r="AK2" s="17"/>
      <c r="AL2" s="17"/>
      <c r="AM2" s="17"/>
      <c r="AN2" s="17"/>
      <c r="AO2" s="17"/>
      <c r="AP2" s="18"/>
      <c r="AQ2" s="33" t="s">
        <v>1</v>
      </c>
      <c r="AR2" s="43" t="s">
        <v>52</v>
      </c>
      <c r="AS2" s="44"/>
      <c r="AT2" s="44"/>
      <c r="AU2" s="44"/>
      <c r="AV2" s="44"/>
      <c r="AW2" s="44"/>
      <c r="AX2" s="44"/>
      <c r="AY2" s="44"/>
    </row>
    <row r="3" spans="1:53">
      <c r="A3" s="32"/>
      <c r="B3" s="34"/>
      <c r="C3" s="21" t="s">
        <v>5</v>
      </c>
      <c r="D3" s="19" t="s">
        <v>6</v>
      </c>
      <c r="E3" s="20"/>
      <c r="F3" s="21" t="s">
        <v>7</v>
      </c>
      <c r="G3" s="21"/>
      <c r="H3" s="21"/>
      <c r="I3" s="21"/>
      <c r="J3" s="21"/>
      <c r="K3" s="21"/>
      <c r="L3" s="19" t="s">
        <v>8</v>
      </c>
      <c r="M3" s="20"/>
      <c r="N3" s="22"/>
      <c r="O3" s="21" t="s">
        <v>9</v>
      </c>
      <c r="P3" s="19" t="s">
        <v>10</v>
      </c>
      <c r="Q3" s="35" t="s">
        <v>0</v>
      </c>
      <c r="R3" s="23" t="s">
        <v>6</v>
      </c>
      <c r="S3" s="24"/>
      <c r="T3" s="24"/>
      <c r="U3" s="25"/>
      <c r="V3" s="26" t="s">
        <v>7</v>
      </c>
      <c r="W3" s="26"/>
      <c r="X3" s="26"/>
      <c r="Y3" s="26"/>
      <c r="Z3" s="26"/>
      <c r="AA3" s="26"/>
      <c r="AB3" s="21" t="s">
        <v>11</v>
      </c>
      <c r="AC3" s="21"/>
      <c r="AD3" s="27"/>
      <c r="AE3" s="34"/>
      <c r="AF3" s="7"/>
      <c r="AG3" s="39" t="s">
        <v>0</v>
      </c>
      <c r="AH3" s="28" t="s">
        <v>12</v>
      </c>
      <c r="AI3" s="29"/>
      <c r="AJ3" s="29"/>
      <c r="AK3" s="29"/>
      <c r="AL3" s="29"/>
      <c r="AM3" s="30"/>
      <c r="AN3" s="21" t="s">
        <v>11</v>
      </c>
      <c r="AO3" s="21"/>
      <c r="AP3" s="27"/>
      <c r="AQ3" s="34"/>
      <c r="AR3" s="45"/>
      <c r="AS3" s="46"/>
      <c r="AT3" s="46"/>
      <c r="AU3" s="46"/>
      <c r="AV3" s="46"/>
      <c r="AW3" s="46"/>
      <c r="AX3" s="46"/>
      <c r="AY3" s="46"/>
    </row>
    <row r="4" spans="1:53" ht="46" customHeight="1">
      <c r="A4" s="32"/>
      <c r="B4" s="34"/>
      <c r="C4" s="21"/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2" t="s">
        <v>22</v>
      </c>
      <c r="N4" s="2" t="s">
        <v>23</v>
      </c>
      <c r="O4" s="21"/>
      <c r="P4" s="19"/>
      <c r="Q4" s="36"/>
      <c r="R4" s="8" t="s">
        <v>24</v>
      </c>
      <c r="S4" s="8" t="s">
        <v>25</v>
      </c>
      <c r="T4" s="8" t="s">
        <v>26</v>
      </c>
      <c r="U4" s="8" t="s">
        <v>27</v>
      </c>
      <c r="V4" s="8" t="s">
        <v>28</v>
      </c>
      <c r="W4" s="8" t="s">
        <v>29</v>
      </c>
      <c r="X4" s="8" t="s">
        <v>30</v>
      </c>
      <c r="Y4" s="8" t="s">
        <v>31</v>
      </c>
      <c r="Z4" s="8" t="s">
        <v>32</v>
      </c>
      <c r="AA4" s="8" t="s">
        <v>33</v>
      </c>
      <c r="AB4" s="2" t="s">
        <v>34</v>
      </c>
      <c r="AC4" s="2" t="s">
        <v>35</v>
      </c>
      <c r="AD4" s="9" t="s">
        <v>36</v>
      </c>
      <c r="AE4" s="34"/>
      <c r="AF4" s="7"/>
      <c r="AG4" s="40"/>
      <c r="AH4" s="10" t="s">
        <v>13</v>
      </c>
      <c r="AI4" s="10" t="s">
        <v>14</v>
      </c>
      <c r="AJ4" s="10" t="s">
        <v>37</v>
      </c>
      <c r="AK4" s="10" t="s">
        <v>38</v>
      </c>
      <c r="AL4" s="10" t="s">
        <v>15</v>
      </c>
      <c r="AM4" s="10" t="s">
        <v>16</v>
      </c>
      <c r="AN4" s="2" t="s">
        <v>34</v>
      </c>
      <c r="AO4" s="2" t="s">
        <v>35</v>
      </c>
      <c r="AP4" s="9" t="s">
        <v>36</v>
      </c>
      <c r="AQ4" s="34"/>
      <c r="AR4" s="7"/>
      <c r="AS4" s="7" t="s">
        <v>53</v>
      </c>
      <c r="AT4" s="10" t="s">
        <v>13</v>
      </c>
      <c r="AU4" s="10" t="s">
        <v>14</v>
      </c>
      <c r="AV4" s="10" t="s">
        <v>37</v>
      </c>
      <c r="AW4" s="10" t="s">
        <v>38</v>
      </c>
      <c r="AX4" s="10" t="s">
        <v>15</v>
      </c>
      <c r="AY4" s="10" t="s">
        <v>16</v>
      </c>
      <c r="AZ4" s="1" t="s">
        <v>54</v>
      </c>
    </row>
    <row r="5" spans="1:53">
      <c r="A5" s="4"/>
      <c r="B5" s="5">
        <v>45901</v>
      </c>
      <c r="C5" s="5"/>
      <c r="D5" s="6" t="s">
        <v>39</v>
      </c>
      <c r="E5" s="6" t="s">
        <v>39</v>
      </c>
      <c r="F5" s="5"/>
      <c r="G5" s="6" t="s">
        <v>39</v>
      </c>
      <c r="H5" s="6"/>
      <c r="I5" s="6"/>
      <c r="J5" s="6" t="s">
        <v>39</v>
      </c>
      <c r="K5" s="6" t="s">
        <v>39</v>
      </c>
      <c r="L5" s="6" t="s">
        <v>39</v>
      </c>
      <c r="M5" s="5"/>
      <c r="N5" s="6" t="s">
        <v>39</v>
      </c>
      <c r="O5" s="5"/>
      <c r="P5" s="5"/>
      <c r="Q5" s="48">
        <f t="shared" ref="Q5:Q7" si="0">SUM(R5:AA5)</f>
        <v>35000</v>
      </c>
      <c r="R5" s="41">
        <v>15000</v>
      </c>
      <c r="S5" s="41">
        <v>15000</v>
      </c>
      <c r="T5" s="41"/>
      <c r="U5" s="41"/>
      <c r="V5" s="41"/>
      <c r="W5" s="41">
        <v>3000</v>
      </c>
      <c r="X5" s="41"/>
      <c r="Y5" s="41"/>
      <c r="Z5" s="41">
        <v>1000</v>
      </c>
      <c r="AA5" s="41">
        <v>1000</v>
      </c>
      <c r="AB5" s="6"/>
      <c r="AC5" s="6"/>
      <c r="AD5" s="6" t="s">
        <v>40</v>
      </c>
      <c r="AE5" s="5">
        <v>45901</v>
      </c>
      <c r="AF5" s="6" t="s">
        <v>45</v>
      </c>
      <c r="AG5" s="41">
        <f>SUM(AH5:AM5)</f>
        <v>20000</v>
      </c>
      <c r="AH5" s="41">
        <v>10000</v>
      </c>
      <c r="AI5" s="41">
        <v>10000</v>
      </c>
      <c r="AJ5" s="41"/>
      <c r="AK5" s="41"/>
      <c r="AL5" s="41"/>
      <c r="AM5" s="41"/>
      <c r="AN5" s="6"/>
      <c r="AO5" s="6"/>
      <c r="AP5" s="6" t="s">
        <v>40</v>
      </c>
      <c r="AQ5" s="5">
        <v>45901</v>
      </c>
      <c r="AR5" s="6" t="s">
        <v>45</v>
      </c>
      <c r="AS5" s="42">
        <f>SUM(AT5:AY5)</f>
        <v>6</v>
      </c>
      <c r="AT5" s="1">
        <v>3</v>
      </c>
      <c r="AU5" s="1">
        <v>3</v>
      </c>
      <c r="AZ5" s="47">
        <f>AG5/AS5</f>
        <v>3333.3333333333335</v>
      </c>
    </row>
    <row r="6" spans="1:53">
      <c r="A6" s="4"/>
      <c r="B6" s="5">
        <v>45902</v>
      </c>
      <c r="C6" s="6"/>
      <c r="D6" s="6" t="s">
        <v>39</v>
      </c>
      <c r="E6" s="6" t="s">
        <v>39</v>
      </c>
      <c r="F6" s="6" t="s">
        <v>39</v>
      </c>
      <c r="G6" s="6"/>
      <c r="H6" s="6" t="s">
        <v>39</v>
      </c>
      <c r="I6" s="6"/>
      <c r="J6" s="6"/>
      <c r="K6" s="6" t="s">
        <v>39</v>
      </c>
      <c r="L6" s="6" t="s">
        <v>39</v>
      </c>
      <c r="M6" s="6" t="s">
        <v>39</v>
      </c>
      <c r="N6" s="6"/>
      <c r="O6" s="6"/>
      <c r="P6" s="6"/>
      <c r="Q6" s="48">
        <f t="shared" si="0"/>
        <v>40000</v>
      </c>
      <c r="R6" s="41">
        <v>15000</v>
      </c>
      <c r="S6" s="41">
        <v>15000</v>
      </c>
      <c r="T6" s="41"/>
      <c r="U6" s="41"/>
      <c r="V6" s="41">
        <v>10000</v>
      </c>
      <c r="W6" s="41"/>
      <c r="X6" s="41"/>
      <c r="Y6" s="41"/>
      <c r="Z6" s="41"/>
      <c r="AA6" s="41"/>
      <c r="AB6" s="6"/>
      <c r="AC6" s="6"/>
      <c r="AD6" s="6" t="s">
        <v>40</v>
      </c>
      <c r="AE6" s="5">
        <v>45902</v>
      </c>
      <c r="AF6" s="6" t="s">
        <v>46</v>
      </c>
      <c r="AG6" s="41">
        <f t="shared" ref="AG6:AG34" si="1">SUM(AH6:AM6)</f>
        <v>30000</v>
      </c>
      <c r="AH6" s="41">
        <v>15000</v>
      </c>
      <c r="AI6" s="41">
        <v>5000</v>
      </c>
      <c r="AJ6" s="41"/>
      <c r="AK6" s="41"/>
      <c r="AL6" s="41">
        <v>10000</v>
      </c>
      <c r="AM6" s="41"/>
      <c r="AN6" s="6"/>
      <c r="AO6" s="6"/>
      <c r="AP6" s="6" t="s">
        <v>40</v>
      </c>
      <c r="AQ6" s="5">
        <v>45902</v>
      </c>
      <c r="AR6" s="6" t="s">
        <v>46</v>
      </c>
      <c r="AS6" s="42">
        <f t="shared" ref="AS6:AS34" si="2">SUM(AT6:AY6)</f>
        <v>7</v>
      </c>
      <c r="AT6" s="1">
        <v>3</v>
      </c>
      <c r="AU6" s="1">
        <v>1</v>
      </c>
      <c r="AX6" s="1">
        <v>3</v>
      </c>
      <c r="AZ6" s="47">
        <f t="shared" ref="AZ6:AZ35" si="3">AG6/AS6</f>
        <v>4285.7142857142853</v>
      </c>
    </row>
    <row r="7" spans="1:53">
      <c r="A7" s="4"/>
      <c r="B7" s="5">
        <v>45903</v>
      </c>
      <c r="C7" s="6"/>
      <c r="D7" s="6" t="s">
        <v>39</v>
      </c>
      <c r="E7" s="6"/>
      <c r="F7" s="6" t="s">
        <v>39</v>
      </c>
      <c r="G7" s="6" t="s">
        <v>39</v>
      </c>
      <c r="H7" s="6" t="s">
        <v>39</v>
      </c>
      <c r="I7" s="6" t="s">
        <v>39</v>
      </c>
      <c r="J7" s="6" t="s">
        <v>39</v>
      </c>
      <c r="K7" s="6" t="s">
        <v>39</v>
      </c>
      <c r="L7" s="6" t="s">
        <v>39</v>
      </c>
      <c r="M7" s="6" t="s">
        <v>39</v>
      </c>
      <c r="N7" s="6"/>
      <c r="O7" s="6"/>
      <c r="P7" s="6"/>
      <c r="Q7" s="48">
        <f t="shared" si="0"/>
        <v>80000</v>
      </c>
      <c r="R7" s="41">
        <v>60000</v>
      </c>
      <c r="S7" s="41"/>
      <c r="T7" s="41"/>
      <c r="U7" s="41"/>
      <c r="V7" s="41">
        <v>15000</v>
      </c>
      <c r="W7" s="41"/>
      <c r="X7" s="41">
        <v>2000</v>
      </c>
      <c r="Y7" s="41">
        <v>2000</v>
      </c>
      <c r="Z7" s="41">
        <v>500</v>
      </c>
      <c r="AA7" s="41">
        <v>500</v>
      </c>
      <c r="AB7" s="6"/>
      <c r="AC7" s="6" t="s">
        <v>39</v>
      </c>
      <c r="AD7" s="6"/>
      <c r="AE7" s="5">
        <v>45903</v>
      </c>
      <c r="AF7" s="6" t="s">
        <v>47</v>
      </c>
      <c r="AG7" s="41">
        <f t="shared" si="1"/>
        <v>65000</v>
      </c>
      <c r="AH7" s="41">
        <v>50000</v>
      </c>
      <c r="AI7" s="41"/>
      <c r="AJ7" s="41"/>
      <c r="AK7" s="41"/>
      <c r="AL7" s="41">
        <v>15000</v>
      </c>
      <c r="AM7" s="41"/>
      <c r="AN7" s="6"/>
      <c r="AO7" s="6" t="s">
        <v>39</v>
      </c>
      <c r="AP7" s="6"/>
      <c r="AQ7" s="5">
        <v>45903</v>
      </c>
      <c r="AR7" s="6" t="s">
        <v>47</v>
      </c>
      <c r="AS7" s="42">
        <f t="shared" si="2"/>
        <v>12</v>
      </c>
      <c r="AT7" s="1">
        <v>9</v>
      </c>
      <c r="AX7" s="1">
        <v>3</v>
      </c>
      <c r="AZ7" s="47">
        <f t="shared" si="3"/>
        <v>5416.666666666667</v>
      </c>
    </row>
    <row r="8" spans="1:53">
      <c r="A8" s="4"/>
      <c r="B8" s="5">
        <v>45904</v>
      </c>
      <c r="C8" s="6"/>
      <c r="D8" s="6" t="s">
        <v>39</v>
      </c>
      <c r="E8" s="6" t="s">
        <v>39</v>
      </c>
      <c r="F8" s="6" t="s">
        <v>39</v>
      </c>
      <c r="G8" s="6" t="s">
        <v>39</v>
      </c>
      <c r="H8" s="6" t="s">
        <v>39</v>
      </c>
      <c r="I8" s="6" t="s">
        <v>39</v>
      </c>
      <c r="J8" s="6" t="s">
        <v>39</v>
      </c>
      <c r="K8" s="6" t="s">
        <v>39</v>
      </c>
      <c r="L8" s="6" t="s">
        <v>39</v>
      </c>
      <c r="M8" s="6" t="s">
        <v>39</v>
      </c>
      <c r="N8" s="6" t="s">
        <v>39</v>
      </c>
      <c r="O8" s="6" t="s">
        <v>39</v>
      </c>
      <c r="P8" s="6"/>
      <c r="Q8" s="48">
        <f t="shared" ref="Q8:Q35" si="4">SUM(R8:AA8)</f>
        <v>200000</v>
      </c>
      <c r="R8" s="41">
        <v>50000</v>
      </c>
      <c r="S8" s="41">
        <v>50000</v>
      </c>
      <c r="T8" s="41">
        <v>30000</v>
      </c>
      <c r="U8" s="41">
        <v>30000</v>
      </c>
      <c r="V8" s="41">
        <v>35000</v>
      </c>
      <c r="W8" s="41">
        <v>2000</v>
      </c>
      <c r="X8" s="41">
        <v>1000</v>
      </c>
      <c r="Y8" s="41"/>
      <c r="Z8" s="41">
        <v>1000</v>
      </c>
      <c r="AA8" s="41">
        <v>1000</v>
      </c>
      <c r="AB8" s="6" t="s">
        <v>39</v>
      </c>
      <c r="AC8" s="6" t="s">
        <v>39</v>
      </c>
      <c r="AD8" s="6" t="s">
        <v>39</v>
      </c>
      <c r="AE8" s="5">
        <v>45904</v>
      </c>
      <c r="AF8" s="6" t="s">
        <v>48</v>
      </c>
      <c r="AG8" s="41">
        <f t="shared" si="1"/>
        <v>190000</v>
      </c>
      <c r="AH8" s="41">
        <v>40000</v>
      </c>
      <c r="AI8" s="41">
        <v>50000</v>
      </c>
      <c r="AJ8" s="41">
        <v>30000</v>
      </c>
      <c r="AK8" s="41">
        <v>30000</v>
      </c>
      <c r="AL8" s="41">
        <v>30000</v>
      </c>
      <c r="AM8" s="41">
        <v>10000</v>
      </c>
      <c r="AN8" s="6" t="s">
        <v>39</v>
      </c>
      <c r="AO8" s="6" t="s">
        <v>39</v>
      </c>
      <c r="AP8" s="6" t="s">
        <v>39</v>
      </c>
      <c r="AQ8" s="5">
        <v>45904</v>
      </c>
      <c r="AR8" s="6" t="s">
        <v>48</v>
      </c>
      <c r="AS8" s="42">
        <f t="shared" si="2"/>
        <v>29</v>
      </c>
      <c r="AT8" s="1">
        <v>8</v>
      </c>
      <c r="AU8" s="1">
        <v>8</v>
      </c>
      <c r="AV8" s="1">
        <v>3</v>
      </c>
      <c r="AW8" s="1">
        <v>4</v>
      </c>
      <c r="AX8" s="1">
        <v>4</v>
      </c>
      <c r="AY8" s="1">
        <v>2</v>
      </c>
      <c r="AZ8" s="47">
        <f t="shared" si="3"/>
        <v>6551.7241379310344</v>
      </c>
    </row>
    <row r="9" spans="1:53">
      <c r="A9" s="4"/>
      <c r="B9" s="5">
        <v>45905</v>
      </c>
      <c r="C9" s="6"/>
      <c r="D9" s="6"/>
      <c r="E9" s="6" t="s">
        <v>39</v>
      </c>
      <c r="F9" s="6"/>
      <c r="G9" s="6" t="s">
        <v>39</v>
      </c>
      <c r="H9" s="6"/>
      <c r="I9" s="6" t="s">
        <v>39</v>
      </c>
      <c r="J9" s="6"/>
      <c r="K9" s="6"/>
      <c r="L9" s="6" t="s">
        <v>39</v>
      </c>
      <c r="M9" s="6"/>
      <c r="N9" s="6" t="s">
        <v>39</v>
      </c>
      <c r="O9" s="6"/>
      <c r="P9" s="6"/>
      <c r="Q9" s="48">
        <f t="shared" si="4"/>
        <v>70000</v>
      </c>
      <c r="R9" s="41"/>
      <c r="S9" s="41">
        <v>70000</v>
      </c>
      <c r="T9" s="41"/>
      <c r="U9" s="41"/>
      <c r="V9" s="41"/>
      <c r="W9" s="41"/>
      <c r="X9" s="41"/>
      <c r="Y9" s="41"/>
      <c r="Z9" s="41"/>
      <c r="AA9" s="41"/>
      <c r="AB9" s="6"/>
      <c r="AC9" s="6" t="s">
        <v>39</v>
      </c>
      <c r="AD9" s="6"/>
      <c r="AE9" s="5">
        <v>45905</v>
      </c>
      <c r="AF9" s="6" t="s">
        <v>49</v>
      </c>
      <c r="AG9" s="41">
        <f t="shared" si="1"/>
        <v>60000</v>
      </c>
      <c r="AH9" s="41"/>
      <c r="AI9" s="41">
        <v>60000</v>
      </c>
      <c r="AJ9" s="41"/>
      <c r="AK9" s="41"/>
      <c r="AL9" s="41"/>
      <c r="AM9" s="41"/>
      <c r="AN9" s="6"/>
      <c r="AO9" s="6" t="s">
        <v>39</v>
      </c>
      <c r="AP9" s="6"/>
      <c r="AQ9" s="5">
        <v>45905</v>
      </c>
      <c r="AR9" s="6" t="s">
        <v>49</v>
      </c>
      <c r="AS9" s="42">
        <f t="shared" si="2"/>
        <v>9</v>
      </c>
      <c r="AU9" s="1">
        <v>9</v>
      </c>
      <c r="AZ9" s="47">
        <f t="shared" si="3"/>
        <v>6666.666666666667</v>
      </c>
    </row>
    <row r="10" spans="1:53">
      <c r="A10" s="4"/>
      <c r="B10" s="5">
        <v>45906</v>
      </c>
      <c r="C10" s="6"/>
      <c r="D10" s="6"/>
      <c r="E10" s="6" t="s">
        <v>39</v>
      </c>
      <c r="F10" s="6" t="s">
        <v>41</v>
      </c>
      <c r="G10" s="6" t="s">
        <v>39</v>
      </c>
      <c r="H10" s="6" t="s">
        <v>41</v>
      </c>
      <c r="I10" s="6" t="s">
        <v>39</v>
      </c>
      <c r="J10" s="6" t="s">
        <v>39</v>
      </c>
      <c r="K10" s="6" t="s">
        <v>41</v>
      </c>
      <c r="L10" s="6"/>
      <c r="M10" s="6" t="s">
        <v>39</v>
      </c>
      <c r="N10" s="6" t="s">
        <v>39</v>
      </c>
      <c r="O10" s="6"/>
      <c r="P10" s="6"/>
      <c r="Q10" s="48">
        <f t="shared" si="4"/>
        <v>70000</v>
      </c>
      <c r="R10" s="41"/>
      <c r="S10" s="41">
        <v>70000</v>
      </c>
      <c r="T10" s="41"/>
      <c r="U10" s="41"/>
      <c r="V10" s="41" t="s">
        <v>41</v>
      </c>
      <c r="W10" s="41"/>
      <c r="X10" s="41" t="s">
        <v>41</v>
      </c>
      <c r="Y10" s="41"/>
      <c r="Z10" s="41"/>
      <c r="AA10" s="41" t="s">
        <v>41</v>
      </c>
      <c r="AB10" s="6"/>
      <c r="AC10" s="6" t="s">
        <v>39</v>
      </c>
      <c r="AD10" s="6" t="s">
        <v>39</v>
      </c>
      <c r="AE10" s="5">
        <v>45906</v>
      </c>
      <c r="AF10" s="6" t="s">
        <v>50</v>
      </c>
      <c r="AG10" s="41">
        <f t="shared" si="1"/>
        <v>70000</v>
      </c>
      <c r="AH10" s="41"/>
      <c r="AI10" s="41">
        <v>70000</v>
      </c>
      <c r="AJ10" s="41"/>
      <c r="AK10" s="41"/>
      <c r="AL10" s="41"/>
      <c r="AM10" s="41"/>
      <c r="AN10" s="6"/>
      <c r="AO10" s="6" t="s">
        <v>39</v>
      </c>
      <c r="AP10" s="6" t="s">
        <v>39</v>
      </c>
      <c r="AQ10" s="5">
        <v>45906</v>
      </c>
      <c r="AR10" s="6" t="s">
        <v>50</v>
      </c>
      <c r="AS10" s="42">
        <f t="shared" si="2"/>
        <v>12</v>
      </c>
      <c r="AU10" s="1">
        <v>12</v>
      </c>
      <c r="AZ10" s="47">
        <f t="shared" si="3"/>
        <v>5833.333333333333</v>
      </c>
    </row>
    <row r="11" spans="1:53">
      <c r="A11" s="4"/>
      <c r="B11" s="5">
        <v>45907</v>
      </c>
      <c r="C11" s="6"/>
      <c r="D11" s="6" t="s">
        <v>39</v>
      </c>
      <c r="E11" s="6"/>
      <c r="F11" s="6" t="s">
        <v>39</v>
      </c>
      <c r="G11" s="6"/>
      <c r="H11" s="6" t="s">
        <v>39</v>
      </c>
      <c r="I11" s="6"/>
      <c r="J11" s="6" t="s">
        <v>39</v>
      </c>
      <c r="K11" s="6" t="s">
        <v>39</v>
      </c>
      <c r="L11" s="6"/>
      <c r="M11" s="6" t="s">
        <v>39</v>
      </c>
      <c r="N11" s="6" t="s">
        <v>39</v>
      </c>
      <c r="O11" s="6"/>
      <c r="P11" s="6"/>
      <c r="Q11" s="48">
        <f t="shared" si="4"/>
        <v>80000</v>
      </c>
      <c r="R11" s="41">
        <v>65000</v>
      </c>
      <c r="S11" s="41"/>
      <c r="T11" s="41"/>
      <c r="U11" s="41"/>
      <c r="V11" s="41">
        <v>15000</v>
      </c>
      <c r="W11" s="41"/>
      <c r="X11" s="41"/>
      <c r="Y11" s="41"/>
      <c r="Z11" s="41"/>
      <c r="AA11" s="41"/>
      <c r="AB11" s="6"/>
      <c r="AC11" s="6" t="s">
        <v>39</v>
      </c>
      <c r="AD11" s="6"/>
      <c r="AE11" s="5">
        <v>45907</v>
      </c>
      <c r="AF11" s="6" t="s">
        <v>51</v>
      </c>
      <c r="AG11" s="41">
        <f t="shared" si="1"/>
        <v>60000</v>
      </c>
      <c r="AH11" s="41">
        <v>50000</v>
      </c>
      <c r="AI11" s="41"/>
      <c r="AJ11" s="41"/>
      <c r="AK11" s="41"/>
      <c r="AL11" s="41">
        <v>10000</v>
      </c>
      <c r="AM11" s="41"/>
      <c r="AN11" s="6"/>
      <c r="AO11" s="6" t="s">
        <v>39</v>
      </c>
      <c r="AP11" s="6"/>
      <c r="AQ11" s="5">
        <v>45907</v>
      </c>
      <c r="AR11" s="6" t="s">
        <v>51</v>
      </c>
      <c r="AS11" s="42">
        <f t="shared" si="2"/>
        <v>12</v>
      </c>
      <c r="AT11" s="1">
        <v>9</v>
      </c>
      <c r="AX11" s="1">
        <v>3</v>
      </c>
      <c r="AZ11" s="47">
        <f t="shared" si="3"/>
        <v>5000</v>
      </c>
    </row>
    <row r="12" spans="1:53">
      <c r="A12" s="4"/>
      <c r="B12" s="5">
        <v>45908</v>
      </c>
      <c r="C12" s="6"/>
      <c r="D12" s="6" t="s">
        <v>39</v>
      </c>
      <c r="E12" s="6"/>
      <c r="F12" s="6" t="s">
        <v>39</v>
      </c>
      <c r="G12" s="6" t="s">
        <v>39</v>
      </c>
      <c r="H12" s="6"/>
      <c r="I12" s="6"/>
      <c r="J12" s="6" t="s">
        <v>39</v>
      </c>
      <c r="K12" s="6"/>
      <c r="L12" s="6" t="s">
        <v>39</v>
      </c>
      <c r="M12" s="6" t="s">
        <v>39</v>
      </c>
      <c r="N12" s="6"/>
      <c r="O12" s="6"/>
      <c r="P12" s="6"/>
      <c r="Q12" s="48">
        <f t="shared" si="4"/>
        <v>40000</v>
      </c>
      <c r="R12" s="41">
        <v>25000</v>
      </c>
      <c r="S12" s="41"/>
      <c r="T12" s="41"/>
      <c r="U12" s="41"/>
      <c r="V12" s="41">
        <v>15000</v>
      </c>
      <c r="W12" s="41"/>
      <c r="X12" s="41"/>
      <c r="Y12" s="41"/>
      <c r="Z12" s="41"/>
      <c r="AA12" s="41"/>
      <c r="AB12" s="6"/>
      <c r="AC12" s="6"/>
      <c r="AD12" s="6" t="s">
        <v>39</v>
      </c>
      <c r="AE12" s="5">
        <v>45908</v>
      </c>
      <c r="AF12" s="6" t="s">
        <v>45</v>
      </c>
      <c r="AG12" s="41">
        <f t="shared" si="1"/>
        <v>30000</v>
      </c>
      <c r="AH12" s="41">
        <v>15000</v>
      </c>
      <c r="AI12" s="41"/>
      <c r="AJ12" s="41"/>
      <c r="AK12" s="41"/>
      <c r="AL12" s="41">
        <v>15000</v>
      </c>
      <c r="AM12" s="41"/>
      <c r="AN12" s="6"/>
      <c r="AO12" s="6"/>
      <c r="AP12" s="6" t="s">
        <v>39</v>
      </c>
      <c r="AQ12" s="5">
        <v>45908</v>
      </c>
      <c r="AR12" s="6" t="s">
        <v>45</v>
      </c>
      <c r="AS12" s="42">
        <f t="shared" si="2"/>
        <v>7</v>
      </c>
      <c r="AT12" s="1">
        <v>4</v>
      </c>
      <c r="AX12" s="1">
        <v>3</v>
      </c>
      <c r="AZ12" s="47">
        <f t="shared" si="3"/>
        <v>4285.7142857142853</v>
      </c>
    </row>
    <row r="13" spans="1:53">
      <c r="A13" s="4"/>
      <c r="B13" s="5">
        <v>45909</v>
      </c>
      <c r="C13" s="6"/>
      <c r="D13" s="6"/>
      <c r="E13" s="6" t="s">
        <v>39</v>
      </c>
      <c r="F13" s="6" t="s">
        <v>39</v>
      </c>
      <c r="G13" s="6" t="s">
        <v>39</v>
      </c>
      <c r="H13" s="6" t="s">
        <v>39</v>
      </c>
      <c r="I13" s="6" t="s">
        <v>39</v>
      </c>
      <c r="J13" s="6" t="s">
        <v>39</v>
      </c>
      <c r="K13" s="6"/>
      <c r="L13" s="6"/>
      <c r="M13" s="6" t="s">
        <v>39</v>
      </c>
      <c r="N13" s="6" t="s">
        <v>39</v>
      </c>
      <c r="O13" s="6"/>
      <c r="P13" s="6"/>
      <c r="Q13" s="48">
        <f t="shared" si="4"/>
        <v>80000</v>
      </c>
      <c r="R13" s="41"/>
      <c r="S13" s="41">
        <v>50000</v>
      </c>
      <c r="T13" s="41"/>
      <c r="U13" s="41"/>
      <c r="V13" s="41">
        <v>25000</v>
      </c>
      <c r="W13" s="41">
        <v>2000</v>
      </c>
      <c r="X13" s="41">
        <v>1000</v>
      </c>
      <c r="Y13" s="41">
        <v>1000</v>
      </c>
      <c r="Z13" s="41">
        <v>1000</v>
      </c>
      <c r="AA13" s="41"/>
      <c r="AB13" s="6"/>
      <c r="AC13" s="6" t="s">
        <v>39</v>
      </c>
      <c r="AD13" s="6"/>
      <c r="AE13" s="5">
        <v>45909</v>
      </c>
      <c r="AF13" s="6" t="s">
        <v>46</v>
      </c>
      <c r="AG13" s="41">
        <f t="shared" si="1"/>
        <v>65000</v>
      </c>
      <c r="AH13" s="41"/>
      <c r="AI13" s="41">
        <v>30000</v>
      </c>
      <c r="AJ13" s="41"/>
      <c r="AK13" s="41"/>
      <c r="AL13" s="41">
        <v>30000</v>
      </c>
      <c r="AM13" s="41">
        <v>5000</v>
      </c>
      <c r="AN13" s="6"/>
      <c r="AO13" s="6" t="s">
        <v>39</v>
      </c>
      <c r="AP13" s="6"/>
      <c r="AQ13" s="5">
        <v>45909</v>
      </c>
      <c r="AR13" s="6" t="s">
        <v>46</v>
      </c>
      <c r="AS13" s="42">
        <f t="shared" si="2"/>
        <v>15</v>
      </c>
      <c r="AU13" s="1">
        <v>7</v>
      </c>
      <c r="AX13" s="1">
        <v>7</v>
      </c>
      <c r="AY13" s="1">
        <v>1</v>
      </c>
      <c r="AZ13" s="47">
        <f t="shared" si="3"/>
        <v>4333.333333333333</v>
      </c>
    </row>
    <row r="14" spans="1:53">
      <c r="A14" s="4"/>
      <c r="B14" s="5">
        <v>45910</v>
      </c>
      <c r="C14" s="6"/>
      <c r="D14" s="6" t="s">
        <v>39</v>
      </c>
      <c r="E14" s="6" t="s">
        <v>39</v>
      </c>
      <c r="F14" s="6" t="s">
        <v>39</v>
      </c>
      <c r="G14" s="6" t="s">
        <v>39</v>
      </c>
      <c r="H14" s="6" t="s">
        <v>39</v>
      </c>
      <c r="I14" s="6" t="s">
        <v>39</v>
      </c>
      <c r="J14" s="6" t="s">
        <v>39</v>
      </c>
      <c r="K14" s="6"/>
      <c r="L14" s="6" t="s">
        <v>39</v>
      </c>
      <c r="M14" s="6"/>
      <c r="N14" s="6" t="s">
        <v>39</v>
      </c>
      <c r="O14" s="6"/>
      <c r="P14" s="6"/>
      <c r="Q14" s="48">
        <f t="shared" si="4"/>
        <v>80000</v>
      </c>
      <c r="R14" s="41">
        <v>25000</v>
      </c>
      <c r="S14" s="41">
        <v>20000</v>
      </c>
      <c r="T14" s="41"/>
      <c r="U14" s="41"/>
      <c r="V14" s="41">
        <v>30000</v>
      </c>
      <c r="W14" s="41">
        <v>1000</v>
      </c>
      <c r="X14" s="41">
        <v>2000</v>
      </c>
      <c r="Y14" s="41">
        <v>1000</v>
      </c>
      <c r="Z14" s="41">
        <v>1000</v>
      </c>
      <c r="AA14" s="41"/>
      <c r="AB14" s="6"/>
      <c r="AC14" s="6" t="s">
        <v>39</v>
      </c>
      <c r="AD14" s="6"/>
      <c r="AE14" s="5">
        <v>45910</v>
      </c>
      <c r="AF14" s="6" t="s">
        <v>47</v>
      </c>
      <c r="AG14" s="41">
        <f t="shared" si="1"/>
        <v>65000</v>
      </c>
      <c r="AH14" s="41">
        <v>10000</v>
      </c>
      <c r="AI14" s="41">
        <v>20000</v>
      </c>
      <c r="AJ14" s="41"/>
      <c r="AK14" s="41"/>
      <c r="AL14" s="41">
        <v>25000</v>
      </c>
      <c r="AM14" s="41">
        <v>10000</v>
      </c>
      <c r="AN14" s="6"/>
      <c r="AO14" s="6" t="s">
        <v>39</v>
      </c>
      <c r="AP14" s="6"/>
      <c r="AQ14" s="5">
        <v>45910</v>
      </c>
      <c r="AR14" s="6" t="s">
        <v>47</v>
      </c>
      <c r="AS14" s="42">
        <f t="shared" si="2"/>
        <v>15</v>
      </c>
      <c r="AT14" s="1">
        <v>3</v>
      </c>
      <c r="AU14" s="1">
        <v>5</v>
      </c>
      <c r="AX14" s="1">
        <v>5</v>
      </c>
      <c r="AY14" s="1">
        <v>2</v>
      </c>
      <c r="AZ14" s="47">
        <f t="shared" si="3"/>
        <v>4333.333333333333</v>
      </c>
    </row>
    <row r="15" spans="1:53">
      <c r="A15" s="4"/>
      <c r="B15" s="5">
        <v>45911</v>
      </c>
      <c r="C15" s="6"/>
      <c r="D15" s="6" t="s">
        <v>39</v>
      </c>
      <c r="E15" s="6" t="s">
        <v>39</v>
      </c>
      <c r="F15" s="6" t="s">
        <v>39</v>
      </c>
      <c r="G15" s="6" t="s">
        <v>39</v>
      </c>
      <c r="H15" s="6" t="s">
        <v>39</v>
      </c>
      <c r="I15" s="6" t="s">
        <v>39</v>
      </c>
      <c r="J15" s="6"/>
      <c r="K15" s="6" t="s">
        <v>39</v>
      </c>
      <c r="L15" s="6" t="s">
        <v>39</v>
      </c>
      <c r="M15" s="6" t="s">
        <v>39</v>
      </c>
      <c r="N15" s="6" t="s">
        <v>39</v>
      </c>
      <c r="O15" s="6"/>
      <c r="P15" s="6"/>
      <c r="Q15" s="48">
        <f t="shared" si="4"/>
        <v>80000</v>
      </c>
      <c r="R15" s="41">
        <v>25000</v>
      </c>
      <c r="S15" s="41">
        <v>25000</v>
      </c>
      <c r="T15" s="41"/>
      <c r="U15" s="41"/>
      <c r="V15" s="41">
        <v>30000</v>
      </c>
      <c r="W15" s="41"/>
      <c r="X15" s="41"/>
      <c r="Y15" s="41"/>
      <c r="Z15" s="41"/>
      <c r="AA15" s="41"/>
      <c r="AB15" s="6"/>
      <c r="AC15" s="6" t="s">
        <v>39</v>
      </c>
      <c r="AD15" s="6"/>
      <c r="AE15" s="5">
        <v>45911</v>
      </c>
      <c r="AF15" s="6" t="s">
        <v>48</v>
      </c>
      <c r="AG15" s="41">
        <f t="shared" si="1"/>
        <v>60000</v>
      </c>
      <c r="AH15" s="41">
        <v>25000</v>
      </c>
      <c r="AI15" s="41">
        <v>25000</v>
      </c>
      <c r="AJ15" s="41"/>
      <c r="AK15" s="41"/>
      <c r="AL15" s="41">
        <v>10000</v>
      </c>
      <c r="AM15" s="41"/>
      <c r="AN15" s="6"/>
      <c r="AO15" s="6" t="s">
        <v>39</v>
      </c>
      <c r="AP15" s="6"/>
      <c r="AQ15" s="5">
        <v>45911</v>
      </c>
      <c r="AR15" s="6" t="s">
        <v>48</v>
      </c>
      <c r="AS15" s="42">
        <f t="shared" si="2"/>
        <v>14</v>
      </c>
      <c r="AT15" s="1">
        <v>6</v>
      </c>
      <c r="AU15" s="1">
        <v>6</v>
      </c>
      <c r="AX15" s="1">
        <v>2</v>
      </c>
      <c r="AZ15" s="47">
        <f t="shared" si="3"/>
        <v>4285.7142857142853</v>
      </c>
    </row>
    <row r="16" spans="1:53">
      <c r="A16" s="4"/>
      <c r="B16" s="5">
        <v>45912</v>
      </c>
      <c r="C16" s="6"/>
      <c r="D16" s="6" t="s">
        <v>39</v>
      </c>
      <c r="E16" s="6" t="s">
        <v>39</v>
      </c>
      <c r="F16" s="6"/>
      <c r="G16" s="6"/>
      <c r="H16" s="6" t="s">
        <v>39</v>
      </c>
      <c r="I16" s="6" t="s">
        <v>39</v>
      </c>
      <c r="J16" s="6"/>
      <c r="K16" s="6" t="s">
        <v>39</v>
      </c>
      <c r="L16" s="6" t="s">
        <v>39</v>
      </c>
      <c r="M16" s="6" t="s">
        <v>39</v>
      </c>
      <c r="N16" s="6" t="s">
        <v>39</v>
      </c>
      <c r="O16" s="6"/>
      <c r="P16" s="6"/>
      <c r="Q16" s="48">
        <f t="shared" si="4"/>
        <v>80000</v>
      </c>
      <c r="R16" s="41">
        <v>45000</v>
      </c>
      <c r="S16" s="41">
        <v>30000</v>
      </c>
      <c r="T16" s="41"/>
      <c r="U16" s="41"/>
      <c r="V16" s="41"/>
      <c r="W16" s="41"/>
      <c r="X16" s="41">
        <v>2000</v>
      </c>
      <c r="Y16" s="41">
        <v>2000</v>
      </c>
      <c r="Z16" s="41"/>
      <c r="AA16" s="41">
        <v>1000</v>
      </c>
      <c r="AB16" s="6"/>
      <c r="AC16" s="6" t="s">
        <v>39</v>
      </c>
      <c r="AD16" s="6"/>
      <c r="AE16" s="5">
        <v>45912</v>
      </c>
      <c r="AF16" s="6" t="s">
        <v>49</v>
      </c>
      <c r="AG16" s="41">
        <f t="shared" si="1"/>
        <v>65000</v>
      </c>
      <c r="AH16" s="41">
        <v>35000</v>
      </c>
      <c r="AI16" s="41">
        <v>30000</v>
      </c>
      <c r="AJ16" s="41"/>
      <c r="AK16" s="41"/>
      <c r="AL16" s="41"/>
      <c r="AM16" s="41"/>
      <c r="AN16" s="6"/>
      <c r="AO16" s="6" t="s">
        <v>39</v>
      </c>
      <c r="AP16" s="6"/>
      <c r="AQ16" s="5">
        <v>45912</v>
      </c>
      <c r="AR16" s="6" t="s">
        <v>49</v>
      </c>
      <c r="AS16" s="42">
        <f t="shared" si="2"/>
        <v>15</v>
      </c>
      <c r="AT16" s="1">
        <v>8</v>
      </c>
      <c r="AU16" s="1">
        <v>7</v>
      </c>
      <c r="AZ16" s="47">
        <f t="shared" si="3"/>
        <v>4333.333333333333</v>
      </c>
      <c r="BA16" s="1">
        <v>5</v>
      </c>
    </row>
    <row r="17" spans="1:52">
      <c r="A17" s="4"/>
      <c r="B17" s="5">
        <v>45913</v>
      </c>
      <c r="C17" s="6"/>
      <c r="D17" s="6"/>
      <c r="E17" s="6" t="s">
        <v>39</v>
      </c>
      <c r="F17" s="6" t="s">
        <v>41</v>
      </c>
      <c r="G17" s="6"/>
      <c r="H17" s="6" t="s">
        <v>41</v>
      </c>
      <c r="I17" s="6" t="s">
        <v>39</v>
      </c>
      <c r="J17" s="6" t="s">
        <v>39</v>
      </c>
      <c r="K17" s="6" t="s">
        <v>41</v>
      </c>
      <c r="L17" s="6" t="s">
        <v>39</v>
      </c>
      <c r="M17" s="6"/>
      <c r="N17" s="6" t="s">
        <v>39</v>
      </c>
      <c r="O17" s="6"/>
      <c r="P17" s="6"/>
      <c r="Q17" s="48">
        <f t="shared" si="4"/>
        <v>30000</v>
      </c>
      <c r="R17" s="41"/>
      <c r="S17" s="41">
        <v>30000</v>
      </c>
      <c r="T17" s="41"/>
      <c r="U17" s="41"/>
      <c r="V17" s="41" t="s">
        <v>41</v>
      </c>
      <c r="W17" s="41"/>
      <c r="X17" s="41" t="s">
        <v>41</v>
      </c>
      <c r="Y17" s="41"/>
      <c r="Z17" s="41"/>
      <c r="AA17" s="41" t="s">
        <v>41</v>
      </c>
      <c r="AB17" s="6"/>
      <c r="AC17" s="6"/>
      <c r="AD17" s="6" t="s">
        <v>39</v>
      </c>
      <c r="AE17" s="5">
        <v>45913</v>
      </c>
      <c r="AF17" s="6" t="s">
        <v>50</v>
      </c>
      <c r="AG17" s="41">
        <f t="shared" si="1"/>
        <v>30000</v>
      </c>
      <c r="AH17" s="41"/>
      <c r="AI17" s="41">
        <v>30000</v>
      </c>
      <c r="AJ17" s="41"/>
      <c r="AK17" s="41"/>
      <c r="AL17" s="41"/>
      <c r="AM17" s="41"/>
      <c r="AN17" s="6"/>
      <c r="AO17" s="6"/>
      <c r="AP17" s="6" t="s">
        <v>39</v>
      </c>
      <c r="AQ17" s="5">
        <v>45913</v>
      </c>
      <c r="AR17" s="6" t="s">
        <v>50</v>
      </c>
      <c r="AS17" s="42">
        <f t="shared" si="2"/>
        <v>8</v>
      </c>
      <c r="AU17" s="1">
        <v>8</v>
      </c>
      <c r="AZ17" s="47">
        <f t="shared" si="3"/>
        <v>3750</v>
      </c>
    </row>
    <row r="18" spans="1:52">
      <c r="A18" s="4"/>
      <c r="B18" s="5">
        <v>45914</v>
      </c>
      <c r="C18" s="6"/>
      <c r="D18" s="6" t="s">
        <v>39</v>
      </c>
      <c r="E18" s="6" t="s">
        <v>39</v>
      </c>
      <c r="F18" s="6" t="s">
        <v>39</v>
      </c>
      <c r="G18" s="6" t="s">
        <v>39</v>
      </c>
      <c r="H18" s="6" t="s">
        <v>39</v>
      </c>
      <c r="I18" s="6" t="s">
        <v>39</v>
      </c>
      <c r="J18" s="6" t="s">
        <v>39</v>
      </c>
      <c r="K18" s="6" t="s">
        <v>39</v>
      </c>
      <c r="L18" s="6" t="s">
        <v>39</v>
      </c>
      <c r="M18" s="6" t="s">
        <v>39</v>
      </c>
      <c r="N18" s="6" t="s">
        <v>39</v>
      </c>
      <c r="O18" s="6" t="s">
        <v>39</v>
      </c>
      <c r="P18" s="6"/>
      <c r="Q18" s="48">
        <f t="shared" si="4"/>
        <v>260000</v>
      </c>
      <c r="R18" s="41">
        <v>90000</v>
      </c>
      <c r="S18" s="41">
        <v>80000</v>
      </c>
      <c r="T18" s="41">
        <v>30000</v>
      </c>
      <c r="U18" s="41">
        <v>30000</v>
      </c>
      <c r="V18" s="41">
        <v>30000</v>
      </c>
      <c r="W18" s="41"/>
      <c r="X18" s="41"/>
      <c r="Y18" s="41"/>
      <c r="Z18" s="41"/>
      <c r="AA18" s="41"/>
      <c r="AB18" s="6" t="s">
        <v>39</v>
      </c>
      <c r="AC18" s="6" t="s">
        <v>39</v>
      </c>
      <c r="AD18" s="6" t="s">
        <v>39</v>
      </c>
      <c r="AE18" s="5">
        <v>45914</v>
      </c>
      <c r="AF18" s="6" t="s">
        <v>51</v>
      </c>
      <c r="AG18" s="41">
        <f t="shared" si="1"/>
        <v>200000</v>
      </c>
      <c r="AH18" s="41">
        <v>70000</v>
      </c>
      <c r="AI18" s="41">
        <v>60000</v>
      </c>
      <c r="AJ18" s="41">
        <v>30000</v>
      </c>
      <c r="AK18" s="41">
        <v>30000</v>
      </c>
      <c r="AL18" s="41">
        <v>10000</v>
      </c>
      <c r="AM18" s="41"/>
      <c r="AN18" s="6" t="s">
        <v>39</v>
      </c>
      <c r="AO18" s="6" t="s">
        <v>39</v>
      </c>
      <c r="AP18" s="6" t="s">
        <v>39</v>
      </c>
      <c r="AQ18" s="5">
        <v>45914</v>
      </c>
      <c r="AR18" s="6" t="s">
        <v>51</v>
      </c>
      <c r="AS18" s="42">
        <f t="shared" si="2"/>
        <v>30</v>
      </c>
      <c r="AT18" s="1">
        <v>10</v>
      </c>
      <c r="AU18" s="1">
        <v>9</v>
      </c>
      <c r="AV18" s="1">
        <v>3</v>
      </c>
      <c r="AW18" s="1">
        <v>4</v>
      </c>
      <c r="AX18" s="1">
        <v>4</v>
      </c>
      <c r="AZ18" s="47">
        <f t="shared" si="3"/>
        <v>6666.666666666667</v>
      </c>
    </row>
    <row r="19" spans="1:52">
      <c r="A19" s="4"/>
      <c r="B19" s="5">
        <v>45915</v>
      </c>
      <c r="C19" s="6"/>
      <c r="D19" s="6" t="s">
        <v>39</v>
      </c>
      <c r="E19" s="6"/>
      <c r="F19" s="6" t="s">
        <v>39</v>
      </c>
      <c r="G19" s="6" t="s">
        <v>39</v>
      </c>
      <c r="H19" s="6" t="s">
        <v>39</v>
      </c>
      <c r="I19" s="6"/>
      <c r="J19" s="6"/>
      <c r="K19" s="6"/>
      <c r="L19" s="6" t="s">
        <v>39</v>
      </c>
      <c r="M19" s="6" t="s">
        <v>39</v>
      </c>
      <c r="N19" s="6"/>
      <c r="O19" s="6"/>
      <c r="P19" s="6"/>
      <c r="Q19" s="48">
        <f t="shared" si="4"/>
        <v>40000</v>
      </c>
      <c r="R19" s="41">
        <v>20000</v>
      </c>
      <c r="S19" s="41"/>
      <c r="T19" s="41"/>
      <c r="U19" s="41"/>
      <c r="V19" s="41">
        <v>20000</v>
      </c>
      <c r="W19" s="41"/>
      <c r="X19" s="41"/>
      <c r="Y19" s="41"/>
      <c r="Z19" s="41"/>
      <c r="AA19" s="41"/>
      <c r="AB19" s="6"/>
      <c r="AC19" s="6"/>
      <c r="AD19" s="6" t="s">
        <v>39</v>
      </c>
      <c r="AE19" s="5">
        <v>45915</v>
      </c>
      <c r="AF19" s="6" t="s">
        <v>45</v>
      </c>
      <c r="AG19" s="41">
        <f t="shared" si="1"/>
        <v>30000</v>
      </c>
      <c r="AH19" s="41">
        <v>20000</v>
      </c>
      <c r="AI19" s="41"/>
      <c r="AJ19" s="41"/>
      <c r="AK19" s="41"/>
      <c r="AL19" s="41">
        <v>10000</v>
      </c>
      <c r="AM19" s="41"/>
      <c r="AN19" s="6"/>
      <c r="AO19" s="6"/>
      <c r="AP19" s="6" t="s">
        <v>39</v>
      </c>
      <c r="AQ19" s="5">
        <v>45915</v>
      </c>
      <c r="AR19" s="6" t="s">
        <v>45</v>
      </c>
      <c r="AS19" s="42">
        <f t="shared" si="2"/>
        <v>7</v>
      </c>
      <c r="AT19" s="1">
        <v>5</v>
      </c>
      <c r="AX19" s="1">
        <v>2</v>
      </c>
      <c r="AZ19" s="47">
        <f t="shared" si="3"/>
        <v>4285.7142857142853</v>
      </c>
    </row>
    <row r="20" spans="1:52">
      <c r="A20" s="4"/>
      <c r="B20" s="5">
        <v>45916</v>
      </c>
      <c r="C20" s="6"/>
      <c r="D20" s="6"/>
      <c r="E20" s="6" t="s">
        <v>39</v>
      </c>
      <c r="F20" s="6" t="s">
        <v>39</v>
      </c>
      <c r="G20" s="6" t="s">
        <v>39</v>
      </c>
      <c r="H20" s="6"/>
      <c r="I20" s="6"/>
      <c r="J20" s="6" t="s">
        <v>39</v>
      </c>
      <c r="K20" s="6" t="s">
        <v>39</v>
      </c>
      <c r="L20" s="6" t="s">
        <v>39</v>
      </c>
      <c r="M20" s="6" t="s">
        <v>39</v>
      </c>
      <c r="N20" s="6"/>
      <c r="O20" s="6"/>
      <c r="P20" s="6"/>
      <c r="Q20" s="48">
        <f t="shared" si="4"/>
        <v>70000</v>
      </c>
      <c r="R20" s="41"/>
      <c r="S20" s="41">
        <v>20000</v>
      </c>
      <c r="T20" s="41"/>
      <c r="U20" s="41"/>
      <c r="V20" s="41">
        <v>45000</v>
      </c>
      <c r="W20" s="41">
        <v>3000</v>
      </c>
      <c r="X20" s="41"/>
      <c r="Y20" s="41"/>
      <c r="Z20" s="41">
        <v>2000</v>
      </c>
      <c r="AA20" s="41"/>
      <c r="AB20" s="6"/>
      <c r="AC20" s="6" t="s">
        <v>39</v>
      </c>
      <c r="AD20" s="6"/>
      <c r="AE20" s="5">
        <v>45916</v>
      </c>
      <c r="AF20" s="6" t="s">
        <v>46</v>
      </c>
      <c r="AG20" s="41">
        <f t="shared" si="1"/>
        <v>60000</v>
      </c>
      <c r="AH20" s="41"/>
      <c r="AI20" s="41">
        <v>20000</v>
      </c>
      <c r="AJ20" s="41"/>
      <c r="AK20" s="41"/>
      <c r="AL20" s="41">
        <v>35000</v>
      </c>
      <c r="AM20" s="41">
        <v>5000</v>
      </c>
      <c r="AN20" s="6"/>
      <c r="AO20" s="6" t="s">
        <v>39</v>
      </c>
      <c r="AP20" s="6"/>
      <c r="AQ20" s="5">
        <v>45916</v>
      </c>
      <c r="AR20" s="6" t="s">
        <v>46</v>
      </c>
      <c r="AS20" s="42">
        <f t="shared" si="2"/>
        <v>13</v>
      </c>
      <c r="AU20" s="1">
        <v>5</v>
      </c>
      <c r="AX20" s="1">
        <v>7</v>
      </c>
      <c r="AY20" s="1">
        <v>1</v>
      </c>
      <c r="AZ20" s="47">
        <f t="shared" si="3"/>
        <v>4615.3846153846152</v>
      </c>
    </row>
    <row r="21" spans="1:52">
      <c r="A21" s="4"/>
      <c r="B21" s="5">
        <v>45917</v>
      </c>
      <c r="C21" s="6"/>
      <c r="D21" s="6" t="s">
        <v>39</v>
      </c>
      <c r="E21" s="6" t="s">
        <v>39</v>
      </c>
      <c r="F21" s="6"/>
      <c r="G21" s="6" t="s">
        <v>39</v>
      </c>
      <c r="H21" s="6" t="s">
        <v>39</v>
      </c>
      <c r="I21" s="6" t="s">
        <v>39</v>
      </c>
      <c r="J21" s="6" t="s">
        <v>39</v>
      </c>
      <c r="K21" s="6" t="s">
        <v>39</v>
      </c>
      <c r="L21" s="6"/>
      <c r="M21" s="6" t="s">
        <v>39</v>
      </c>
      <c r="N21" s="6" t="s">
        <v>39</v>
      </c>
      <c r="O21" s="6"/>
      <c r="P21" s="6"/>
      <c r="Q21" s="48">
        <f t="shared" si="4"/>
        <v>80000</v>
      </c>
      <c r="R21" s="41">
        <v>45000</v>
      </c>
      <c r="S21" s="41">
        <v>30000</v>
      </c>
      <c r="T21" s="41"/>
      <c r="U21" s="41"/>
      <c r="V21" s="41"/>
      <c r="W21" s="41">
        <v>2000</v>
      </c>
      <c r="X21" s="41">
        <v>2000</v>
      </c>
      <c r="Y21" s="41"/>
      <c r="Z21" s="41"/>
      <c r="AA21" s="41">
        <v>1000</v>
      </c>
      <c r="AB21" s="6"/>
      <c r="AC21" s="6" t="s">
        <v>39</v>
      </c>
      <c r="AD21" s="6"/>
      <c r="AE21" s="5">
        <v>45917</v>
      </c>
      <c r="AF21" s="6" t="s">
        <v>47</v>
      </c>
      <c r="AG21" s="41">
        <f t="shared" si="1"/>
        <v>65000</v>
      </c>
      <c r="AH21" s="41">
        <v>40000</v>
      </c>
      <c r="AI21" s="41">
        <v>20000</v>
      </c>
      <c r="AJ21" s="41"/>
      <c r="AK21" s="41"/>
      <c r="AL21" s="41"/>
      <c r="AM21" s="41">
        <v>5000</v>
      </c>
      <c r="AN21" s="6"/>
      <c r="AO21" s="6" t="s">
        <v>39</v>
      </c>
      <c r="AP21" s="6"/>
      <c r="AQ21" s="5">
        <v>45917</v>
      </c>
      <c r="AR21" s="6" t="s">
        <v>47</v>
      </c>
      <c r="AS21" s="42">
        <f t="shared" si="2"/>
        <v>9</v>
      </c>
      <c r="AT21" s="1">
        <v>8</v>
      </c>
      <c r="AY21" s="1">
        <v>1</v>
      </c>
      <c r="AZ21" s="47">
        <f t="shared" si="3"/>
        <v>7222.2222222222226</v>
      </c>
    </row>
    <row r="22" spans="1:52">
      <c r="A22" s="4"/>
      <c r="B22" s="5">
        <v>45918</v>
      </c>
      <c r="C22" s="6"/>
      <c r="D22" s="6" t="s">
        <v>39</v>
      </c>
      <c r="E22" s="6" t="s">
        <v>39</v>
      </c>
      <c r="F22" s="6"/>
      <c r="G22" s="6" t="s">
        <v>39</v>
      </c>
      <c r="H22" s="6" t="s">
        <v>39</v>
      </c>
      <c r="I22" s="6" t="s">
        <v>39</v>
      </c>
      <c r="J22" s="6" t="s">
        <v>39</v>
      </c>
      <c r="K22" s="6" t="s">
        <v>39</v>
      </c>
      <c r="L22" s="6"/>
      <c r="M22" s="6" t="s">
        <v>39</v>
      </c>
      <c r="N22" s="6" t="s">
        <v>39</v>
      </c>
      <c r="O22" s="6"/>
      <c r="P22" s="6"/>
      <c r="Q22" s="48">
        <f t="shared" si="4"/>
        <v>80000</v>
      </c>
      <c r="R22" s="41">
        <v>45000</v>
      </c>
      <c r="S22" s="41">
        <v>30000</v>
      </c>
      <c r="T22" s="41"/>
      <c r="U22" s="41"/>
      <c r="V22" s="41"/>
      <c r="W22" s="41"/>
      <c r="X22" s="41">
        <v>1500</v>
      </c>
      <c r="Y22" s="41">
        <v>2000</v>
      </c>
      <c r="Z22" s="41">
        <v>500</v>
      </c>
      <c r="AA22" s="41">
        <v>1000</v>
      </c>
      <c r="AB22" s="6"/>
      <c r="AC22" s="6" t="s">
        <v>39</v>
      </c>
      <c r="AD22" s="6"/>
      <c r="AE22" s="5">
        <v>45918</v>
      </c>
      <c r="AF22" s="6" t="s">
        <v>48</v>
      </c>
      <c r="AG22" s="41">
        <f t="shared" si="1"/>
        <v>60000</v>
      </c>
      <c r="AH22" s="41">
        <v>30000</v>
      </c>
      <c r="AI22" s="41">
        <v>30000</v>
      </c>
      <c r="AJ22" s="41"/>
      <c r="AK22" s="41"/>
      <c r="AL22" s="41"/>
      <c r="AM22" s="41"/>
      <c r="AN22" s="6"/>
      <c r="AO22" s="6" t="s">
        <v>39</v>
      </c>
      <c r="AP22" s="6"/>
      <c r="AQ22" s="5">
        <v>45918</v>
      </c>
      <c r="AR22" s="6" t="s">
        <v>48</v>
      </c>
      <c r="AS22" s="42">
        <f t="shared" si="2"/>
        <v>12</v>
      </c>
      <c r="AT22" s="1">
        <v>6</v>
      </c>
      <c r="AU22" s="1">
        <v>6</v>
      </c>
      <c r="AZ22" s="47">
        <f t="shared" si="3"/>
        <v>5000</v>
      </c>
    </row>
    <row r="23" spans="1:52">
      <c r="A23" s="4"/>
      <c r="B23" s="5">
        <v>45919</v>
      </c>
      <c r="C23" s="6"/>
      <c r="D23" s="6"/>
      <c r="E23" s="6" t="s">
        <v>39</v>
      </c>
      <c r="F23" s="6"/>
      <c r="G23" s="6" t="s">
        <v>39</v>
      </c>
      <c r="H23" s="6" t="s">
        <v>39</v>
      </c>
      <c r="I23" s="6" t="s">
        <v>39</v>
      </c>
      <c r="J23" s="6"/>
      <c r="K23" s="6" t="s">
        <v>39</v>
      </c>
      <c r="L23" s="6" t="s">
        <v>39</v>
      </c>
      <c r="M23" s="6"/>
      <c r="N23" s="6" t="s">
        <v>39</v>
      </c>
      <c r="O23" s="6"/>
      <c r="Q23" s="48">
        <f t="shared" si="4"/>
        <v>65000</v>
      </c>
      <c r="R23" s="41"/>
      <c r="S23" s="41">
        <v>60000</v>
      </c>
      <c r="T23" s="41"/>
      <c r="U23" s="41"/>
      <c r="V23" s="41"/>
      <c r="W23" s="41">
        <v>3000</v>
      </c>
      <c r="X23" s="41">
        <v>500</v>
      </c>
      <c r="Y23" s="41"/>
      <c r="Z23" s="41"/>
      <c r="AA23" s="41">
        <v>1500</v>
      </c>
      <c r="AB23" s="6"/>
      <c r="AC23" s="6" t="s">
        <v>39</v>
      </c>
      <c r="AD23" s="6"/>
      <c r="AE23" s="5">
        <v>45919</v>
      </c>
      <c r="AF23" s="6" t="s">
        <v>49</v>
      </c>
      <c r="AG23" s="41">
        <f t="shared" si="1"/>
        <v>50000</v>
      </c>
      <c r="AH23" s="41"/>
      <c r="AI23" s="41">
        <v>50000</v>
      </c>
      <c r="AJ23" s="41"/>
      <c r="AK23" s="41"/>
      <c r="AL23" s="41"/>
      <c r="AM23" s="41"/>
      <c r="AN23" s="6"/>
      <c r="AO23" s="6" t="s">
        <v>39</v>
      </c>
      <c r="AP23" s="6"/>
      <c r="AQ23" s="5">
        <v>45919</v>
      </c>
      <c r="AR23" s="6" t="s">
        <v>49</v>
      </c>
      <c r="AS23" s="42">
        <f t="shared" si="2"/>
        <v>10</v>
      </c>
      <c r="AU23" s="1">
        <v>10</v>
      </c>
      <c r="AZ23" s="47">
        <f t="shared" si="3"/>
        <v>5000</v>
      </c>
    </row>
    <row r="24" spans="1:52">
      <c r="A24" s="4"/>
      <c r="B24" s="5">
        <v>45920</v>
      </c>
      <c r="C24" s="6"/>
      <c r="D24" s="6" t="s">
        <v>39</v>
      </c>
      <c r="E24" s="6" t="s">
        <v>39</v>
      </c>
      <c r="F24" s="6" t="s">
        <v>41</v>
      </c>
      <c r="G24" s="6" t="s">
        <v>39</v>
      </c>
      <c r="H24" s="6" t="s">
        <v>41</v>
      </c>
      <c r="I24" s="6" t="s">
        <v>39</v>
      </c>
      <c r="J24" s="6" t="s">
        <v>39</v>
      </c>
      <c r="K24" s="6" t="s">
        <v>41</v>
      </c>
      <c r="L24" s="6" t="s">
        <v>39</v>
      </c>
      <c r="M24" s="6" t="s">
        <v>39</v>
      </c>
      <c r="N24" s="6" t="s">
        <v>39</v>
      </c>
      <c r="O24" s="6" t="s">
        <v>42</v>
      </c>
      <c r="P24" s="6"/>
      <c r="Q24" s="48">
        <f t="shared" si="4"/>
        <v>200000</v>
      </c>
      <c r="R24" s="41">
        <v>65000</v>
      </c>
      <c r="S24" s="41">
        <v>65000</v>
      </c>
      <c r="T24" s="41">
        <v>20000</v>
      </c>
      <c r="U24" s="41">
        <v>20000</v>
      </c>
      <c r="V24" s="41">
        <v>30000</v>
      </c>
      <c r="W24" s="41"/>
      <c r="X24" s="41"/>
      <c r="Y24" s="41"/>
      <c r="Z24" s="41"/>
      <c r="AA24" s="41"/>
      <c r="AB24" s="6" t="s">
        <v>39</v>
      </c>
      <c r="AC24" s="6" t="s">
        <v>39</v>
      </c>
      <c r="AD24" s="6" t="s">
        <v>39</v>
      </c>
      <c r="AE24" s="5">
        <v>45920</v>
      </c>
      <c r="AF24" s="6" t="s">
        <v>50</v>
      </c>
      <c r="AG24" s="41">
        <f t="shared" si="1"/>
        <v>190000</v>
      </c>
      <c r="AH24" s="41">
        <v>65000</v>
      </c>
      <c r="AI24" s="41">
        <v>75000</v>
      </c>
      <c r="AJ24" s="41">
        <v>20000</v>
      </c>
      <c r="AK24" s="41">
        <v>20000</v>
      </c>
      <c r="AL24" s="41">
        <v>10000</v>
      </c>
      <c r="AM24" s="41"/>
      <c r="AN24" s="6" t="s">
        <v>39</v>
      </c>
      <c r="AO24" s="6" t="s">
        <v>39</v>
      </c>
      <c r="AP24" s="6" t="s">
        <v>39</v>
      </c>
      <c r="AQ24" s="5">
        <v>45920</v>
      </c>
      <c r="AR24" s="6" t="s">
        <v>50</v>
      </c>
      <c r="AS24" s="42">
        <f t="shared" si="2"/>
        <v>31</v>
      </c>
      <c r="AT24" s="1">
        <v>11</v>
      </c>
      <c r="AU24" s="1">
        <v>12</v>
      </c>
      <c r="AV24" s="1">
        <v>3</v>
      </c>
      <c r="AW24" s="1">
        <v>3</v>
      </c>
      <c r="AX24" s="1">
        <v>2</v>
      </c>
      <c r="AZ24" s="47">
        <f t="shared" si="3"/>
        <v>6129.0322580645161</v>
      </c>
    </row>
    <row r="25" spans="1:52">
      <c r="A25" s="4"/>
      <c r="B25" s="5">
        <v>45921</v>
      </c>
      <c r="C25" s="6"/>
      <c r="D25" s="6" t="s">
        <v>39</v>
      </c>
      <c r="E25" s="6"/>
      <c r="F25" s="6"/>
      <c r="G25" s="6"/>
      <c r="H25" s="6"/>
      <c r="I25" s="6" t="s">
        <v>39</v>
      </c>
      <c r="J25" s="6" t="s">
        <v>39</v>
      </c>
      <c r="K25" s="6"/>
      <c r="L25" s="6"/>
      <c r="M25" s="6" t="s">
        <v>39</v>
      </c>
      <c r="N25" s="6" t="s">
        <v>39</v>
      </c>
      <c r="O25" s="6"/>
      <c r="P25" s="6"/>
      <c r="Q25" s="48">
        <f t="shared" si="4"/>
        <v>40000</v>
      </c>
      <c r="R25" s="41">
        <v>40000</v>
      </c>
      <c r="S25" s="41"/>
      <c r="T25" s="41"/>
      <c r="U25" s="41"/>
      <c r="V25" s="41"/>
      <c r="W25" s="41"/>
      <c r="X25" s="41"/>
      <c r="Y25" s="41"/>
      <c r="Z25" s="41"/>
      <c r="AA25" s="41"/>
      <c r="AB25" s="6"/>
      <c r="AC25" s="6"/>
      <c r="AD25" s="6" t="s">
        <v>39</v>
      </c>
      <c r="AE25" s="5">
        <v>45921</v>
      </c>
      <c r="AF25" s="6" t="s">
        <v>51</v>
      </c>
      <c r="AG25" s="41">
        <f t="shared" si="1"/>
        <v>30000</v>
      </c>
      <c r="AH25" s="41">
        <v>30000</v>
      </c>
      <c r="AI25" s="41"/>
      <c r="AJ25" s="41"/>
      <c r="AK25" s="41"/>
      <c r="AL25" s="41"/>
      <c r="AM25" s="41"/>
      <c r="AN25" s="6"/>
      <c r="AO25" s="6"/>
      <c r="AP25" s="6" t="s">
        <v>39</v>
      </c>
      <c r="AQ25" s="5">
        <v>45921</v>
      </c>
      <c r="AR25" s="6" t="s">
        <v>51</v>
      </c>
      <c r="AS25" s="42">
        <f t="shared" si="2"/>
        <v>7</v>
      </c>
      <c r="AT25" s="1">
        <v>7</v>
      </c>
      <c r="AZ25" s="47">
        <f t="shared" si="3"/>
        <v>4285.7142857142853</v>
      </c>
    </row>
    <row r="26" spans="1:52">
      <c r="A26" s="4"/>
      <c r="B26" s="5">
        <v>45922</v>
      </c>
      <c r="C26" s="6"/>
      <c r="D26" s="6" t="s">
        <v>39</v>
      </c>
      <c r="E26" s="6"/>
      <c r="F26" s="6" t="s">
        <v>39</v>
      </c>
      <c r="G26" s="6" t="s">
        <v>39</v>
      </c>
      <c r="H26" s="6" t="s">
        <v>39</v>
      </c>
      <c r="I26" s="6"/>
      <c r="J26" s="6" t="s">
        <v>39</v>
      </c>
      <c r="K26" s="6"/>
      <c r="L26" s="6" t="s">
        <v>39</v>
      </c>
      <c r="M26" s="6" t="s">
        <v>39</v>
      </c>
      <c r="N26" s="6"/>
      <c r="O26" s="6"/>
      <c r="P26" s="6"/>
      <c r="Q26" s="48">
        <f t="shared" si="4"/>
        <v>40000</v>
      </c>
      <c r="R26" s="41">
        <v>20000</v>
      </c>
      <c r="S26" s="41"/>
      <c r="T26" s="41"/>
      <c r="U26" s="41"/>
      <c r="V26" s="41">
        <v>20000</v>
      </c>
      <c r="W26" s="41"/>
      <c r="X26" s="41"/>
      <c r="Y26" s="41"/>
      <c r="Z26" s="41"/>
      <c r="AA26" s="41"/>
      <c r="AB26" s="6"/>
      <c r="AC26" s="6"/>
      <c r="AD26" s="6" t="s">
        <v>39</v>
      </c>
      <c r="AE26" s="5">
        <v>45922</v>
      </c>
      <c r="AF26" s="6" t="s">
        <v>45</v>
      </c>
      <c r="AG26" s="41">
        <f t="shared" si="1"/>
        <v>30000</v>
      </c>
      <c r="AH26" s="41">
        <v>20000</v>
      </c>
      <c r="AI26" s="41"/>
      <c r="AJ26" s="41"/>
      <c r="AK26" s="41"/>
      <c r="AL26" s="41">
        <v>10000</v>
      </c>
      <c r="AM26" s="41"/>
      <c r="AN26" s="6"/>
      <c r="AO26" s="6"/>
      <c r="AP26" s="6" t="s">
        <v>39</v>
      </c>
      <c r="AQ26" s="5">
        <v>45922</v>
      </c>
      <c r="AR26" s="6" t="s">
        <v>45</v>
      </c>
      <c r="AS26" s="42">
        <f t="shared" si="2"/>
        <v>7</v>
      </c>
      <c r="AT26" s="1">
        <v>5</v>
      </c>
      <c r="AX26" s="1">
        <v>2</v>
      </c>
      <c r="AZ26" s="47">
        <f t="shared" si="3"/>
        <v>4285.7142857142853</v>
      </c>
    </row>
    <row r="27" spans="1:52">
      <c r="A27" s="4"/>
      <c r="B27" s="5">
        <v>45923</v>
      </c>
      <c r="C27" s="6"/>
      <c r="D27" s="6" t="s">
        <v>39</v>
      </c>
      <c r="E27" s="6" t="s">
        <v>39</v>
      </c>
      <c r="F27" s="6" t="s">
        <v>39</v>
      </c>
      <c r="G27" s="6" t="s">
        <v>39</v>
      </c>
      <c r="H27" s="6" t="s">
        <v>39</v>
      </c>
      <c r="I27" s="6"/>
      <c r="J27" s="6" t="s">
        <v>39</v>
      </c>
      <c r="K27" s="6" t="s">
        <v>39</v>
      </c>
      <c r="L27" s="6" t="s">
        <v>39</v>
      </c>
      <c r="M27" s="6" t="s">
        <v>39</v>
      </c>
      <c r="N27" s="6"/>
      <c r="O27" s="6"/>
      <c r="P27" s="6"/>
      <c r="Q27" s="48">
        <f t="shared" si="4"/>
        <v>70000</v>
      </c>
      <c r="R27" s="41">
        <v>20000</v>
      </c>
      <c r="S27" s="41">
        <v>20000</v>
      </c>
      <c r="T27" s="41"/>
      <c r="U27" s="41"/>
      <c r="V27" s="41">
        <v>30000</v>
      </c>
      <c r="W27" s="41"/>
      <c r="X27" s="41"/>
      <c r="Y27" s="41"/>
      <c r="Z27" s="41"/>
      <c r="AA27" s="41"/>
      <c r="AB27" s="6"/>
      <c r="AC27" s="6" t="s">
        <v>39</v>
      </c>
      <c r="AD27" s="6"/>
      <c r="AE27" s="5">
        <v>45923</v>
      </c>
      <c r="AF27" s="6" t="s">
        <v>46</v>
      </c>
      <c r="AG27" s="41">
        <f t="shared" si="1"/>
        <v>55000</v>
      </c>
      <c r="AH27" s="41">
        <v>25000</v>
      </c>
      <c r="AI27" s="41">
        <v>20000</v>
      </c>
      <c r="AJ27" s="41"/>
      <c r="AK27" s="41"/>
      <c r="AL27" s="41">
        <v>10000</v>
      </c>
      <c r="AM27" s="41"/>
      <c r="AN27" s="6"/>
      <c r="AO27" s="6" t="s">
        <v>39</v>
      </c>
      <c r="AP27" s="6"/>
      <c r="AQ27" s="5">
        <v>45923</v>
      </c>
      <c r="AR27" s="6" t="s">
        <v>46</v>
      </c>
      <c r="AS27" s="42">
        <f t="shared" si="2"/>
        <v>13</v>
      </c>
      <c r="AT27" s="1">
        <v>6</v>
      </c>
      <c r="AU27" s="1">
        <v>5</v>
      </c>
      <c r="AX27" s="1">
        <v>2</v>
      </c>
      <c r="AZ27" s="47">
        <f t="shared" si="3"/>
        <v>4230.7692307692305</v>
      </c>
    </row>
    <row r="28" spans="1:52">
      <c r="A28" s="4"/>
      <c r="B28" s="5">
        <v>45924</v>
      </c>
      <c r="C28" s="6"/>
      <c r="D28" s="6" t="s">
        <v>39</v>
      </c>
      <c r="E28" s="6" t="s">
        <v>39</v>
      </c>
      <c r="F28" s="6" t="s">
        <v>39</v>
      </c>
      <c r="G28" s="6" t="s">
        <v>39</v>
      </c>
      <c r="H28" s="6" t="s">
        <v>39</v>
      </c>
      <c r="I28" s="6" t="s">
        <v>39</v>
      </c>
      <c r="J28" s="6"/>
      <c r="K28" s="6" t="s">
        <v>39</v>
      </c>
      <c r="L28" s="6"/>
      <c r="M28" s="6" t="s">
        <v>39</v>
      </c>
      <c r="N28" s="6" t="s">
        <v>39</v>
      </c>
      <c r="O28" s="6"/>
      <c r="P28" s="6"/>
      <c r="Q28" s="48">
        <f t="shared" si="4"/>
        <v>70000</v>
      </c>
      <c r="R28" s="41">
        <v>20000</v>
      </c>
      <c r="S28" s="41">
        <v>20000</v>
      </c>
      <c r="T28" s="41"/>
      <c r="U28" s="41"/>
      <c r="V28" s="41">
        <v>28000</v>
      </c>
      <c r="W28" s="41">
        <v>1000</v>
      </c>
      <c r="X28" s="41">
        <v>1000</v>
      </c>
      <c r="Y28" s="41"/>
      <c r="Z28" s="41"/>
      <c r="AA28" s="41"/>
      <c r="AB28" s="6"/>
      <c r="AC28" s="6" t="s">
        <v>39</v>
      </c>
      <c r="AD28" s="6"/>
      <c r="AE28" s="5">
        <v>45924</v>
      </c>
      <c r="AF28" s="6" t="s">
        <v>47</v>
      </c>
      <c r="AG28" s="41">
        <f t="shared" si="1"/>
        <v>55000</v>
      </c>
      <c r="AH28" s="41">
        <v>20000</v>
      </c>
      <c r="AI28" s="41">
        <v>20000</v>
      </c>
      <c r="AJ28" s="41"/>
      <c r="AK28" s="41"/>
      <c r="AL28" s="41">
        <v>10000</v>
      </c>
      <c r="AM28" s="41">
        <v>5000</v>
      </c>
      <c r="AN28" s="6"/>
      <c r="AO28" s="6" t="s">
        <v>39</v>
      </c>
      <c r="AP28" s="6"/>
      <c r="AQ28" s="5">
        <v>45924</v>
      </c>
      <c r="AR28" s="6" t="s">
        <v>47</v>
      </c>
      <c r="AS28" s="42">
        <f t="shared" si="2"/>
        <v>13</v>
      </c>
      <c r="AT28" s="1">
        <v>5</v>
      </c>
      <c r="AU28" s="1">
        <v>5</v>
      </c>
      <c r="AX28" s="1">
        <v>2</v>
      </c>
      <c r="AY28" s="1">
        <v>1</v>
      </c>
      <c r="AZ28" s="47">
        <f t="shared" si="3"/>
        <v>4230.7692307692305</v>
      </c>
    </row>
    <row r="29" spans="1:52">
      <c r="A29" s="4"/>
      <c r="B29" s="5">
        <v>45925</v>
      </c>
      <c r="C29" s="6"/>
      <c r="D29" s="6" t="s">
        <v>39</v>
      </c>
      <c r="E29" s="6" t="s">
        <v>39</v>
      </c>
      <c r="F29" s="6" t="s">
        <v>39</v>
      </c>
      <c r="G29" s="6" t="s">
        <v>39</v>
      </c>
      <c r="H29" s="6" t="s">
        <v>39</v>
      </c>
      <c r="I29" s="6" t="s">
        <v>39</v>
      </c>
      <c r="J29" s="6" t="s">
        <v>39</v>
      </c>
      <c r="K29" s="6" t="s">
        <v>39</v>
      </c>
      <c r="L29" s="6" t="s">
        <v>39</v>
      </c>
      <c r="M29" s="6" t="s">
        <v>39</v>
      </c>
      <c r="N29" s="6" t="s">
        <v>39</v>
      </c>
      <c r="O29" s="6" t="s">
        <v>39</v>
      </c>
      <c r="P29" s="6"/>
      <c r="Q29" s="48">
        <f t="shared" si="4"/>
        <v>200000</v>
      </c>
      <c r="R29" s="41">
        <v>70000</v>
      </c>
      <c r="S29" s="41">
        <v>60000</v>
      </c>
      <c r="T29" s="41">
        <v>20000</v>
      </c>
      <c r="U29" s="41">
        <v>20000</v>
      </c>
      <c r="V29" s="41">
        <v>26000</v>
      </c>
      <c r="W29" s="41">
        <v>1000</v>
      </c>
      <c r="X29" s="41">
        <v>3000</v>
      </c>
      <c r="Y29" s="41"/>
      <c r="Z29" s="41"/>
      <c r="AA29" s="41"/>
      <c r="AB29" s="6" t="s">
        <v>39</v>
      </c>
      <c r="AC29" s="6" t="s">
        <v>39</v>
      </c>
      <c r="AD29" s="6" t="s">
        <v>39</v>
      </c>
      <c r="AE29" s="5">
        <v>45925</v>
      </c>
      <c r="AF29" s="6" t="s">
        <v>48</v>
      </c>
      <c r="AG29" s="41">
        <f t="shared" si="1"/>
        <v>175000</v>
      </c>
      <c r="AH29" s="41">
        <v>40000</v>
      </c>
      <c r="AI29" s="41">
        <v>60000</v>
      </c>
      <c r="AJ29" s="41">
        <v>20000</v>
      </c>
      <c r="AK29" s="41">
        <v>20000</v>
      </c>
      <c r="AL29" s="41">
        <v>30000</v>
      </c>
      <c r="AM29" s="41">
        <v>5000</v>
      </c>
      <c r="AN29" s="6" t="s">
        <v>39</v>
      </c>
      <c r="AO29" s="6" t="s">
        <v>39</v>
      </c>
      <c r="AP29" s="6" t="s">
        <v>39</v>
      </c>
      <c r="AQ29" s="5">
        <v>45925</v>
      </c>
      <c r="AR29" s="6" t="s">
        <v>48</v>
      </c>
      <c r="AS29" s="42">
        <f t="shared" si="2"/>
        <v>27</v>
      </c>
      <c r="AT29" s="1">
        <v>8</v>
      </c>
      <c r="AU29" s="1">
        <v>10</v>
      </c>
      <c r="AV29" s="1">
        <v>3</v>
      </c>
      <c r="AW29" s="1">
        <v>3</v>
      </c>
      <c r="AX29" s="1">
        <v>2</v>
      </c>
      <c r="AY29" s="1">
        <v>1</v>
      </c>
      <c r="AZ29" s="47">
        <f t="shared" si="3"/>
        <v>6481.4814814814818</v>
      </c>
    </row>
    <row r="30" spans="1:52">
      <c r="A30" s="4"/>
      <c r="B30" s="5">
        <v>45926</v>
      </c>
      <c r="C30" s="6"/>
      <c r="D30" s="6"/>
      <c r="E30" s="6" t="s">
        <v>39</v>
      </c>
      <c r="F30" s="6" t="s">
        <v>39</v>
      </c>
      <c r="G30" s="6"/>
      <c r="H30" s="6" t="s">
        <v>39</v>
      </c>
      <c r="I30" s="6" t="s">
        <v>39</v>
      </c>
      <c r="J30" s="6" t="s">
        <v>39</v>
      </c>
      <c r="K30" s="6" t="s">
        <v>39</v>
      </c>
      <c r="L30" s="6" t="s">
        <v>39</v>
      </c>
      <c r="M30" s="6"/>
      <c r="N30" s="6" t="s">
        <v>39</v>
      </c>
      <c r="O30" s="6"/>
      <c r="P30" s="6"/>
      <c r="Q30" s="48">
        <f t="shared" si="4"/>
        <v>70000</v>
      </c>
      <c r="R30" s="41"/>
      <c r="S30" s="41">
        <v>40000</v>
      </c>
      <c r="T30" s="41"/>
      <c r="U30" s="41"/>
      <c r="V30" s="41">
        <v>30000</v>
      </c>
      <c r="W30" s="41"/>
      <c r="X30" s="41"/>
      <c r="Y30" s="41"/>
      <c r="Z30" s="41"/>
      <c r="AA30" s="41"/>
      <c r="AB30" s="6"/>
      <c r="AC30" s="6" t="s">
        <v>39</v>
      </c>
      <c r="AD30" s="6" t="s">
        <v>39</v>
      </c>
      <c r="AE30" s="5">
        <v>45926</v>
      </c>
      <c r="AF30" s="6" t="s">
        <v>49</v>
      </c>
      <c r="AG30" s="41">
        <f t="shared" si="1"/>
        <v>60000</v>
      </c>
      <c r="AH30" s="41"/>
      <c r="AI30" s="41">
        <v>40000</v>
      </c>
      <c r="AJ30" s="41"/>
      <c r="AK30" s="41"/>
      <c r="AL30" s="41">
        <v>20000</v>
      </c>
      <c r="AM30" s="41"/>
      <c r="AN30" s="6"/>
      <c r="AO30" s="6" t="s">
        <v>39</v>
      </c>
      <c r="AP30" s="6" t="s">
        <v>39</v>
      </c>
      <c r="AQ30" s="5">
        <v>45926</v>
      </c>
      <c r="AR30" s="6" t="s">
        <v>49</v>
      </c>
      <c r="AS30" s="42">
        <f t="shared" si="2"/>
        <v>11</v>
      </c>
      <c r="AU30" s="1">
        <v>8</v>
      </c>
      <c r="AX30" s="1">
        <v>3</v>
      </c>
      <c r="AZ30" s="47">
        <f t="shared" si="3"/>
        <v>5454.545454545455</v>
      </c>
    </row>
    <row r="31" spans="1:52">
      <c r="A31" s="4"/>
      <c r="B31" s="5">
        <v>45927</v>
      </c>
      <c r="C31" s="6"/>
      <c r="D31" s="6"/>
      <c r="E31" s="6" t="s">
        <v>39</v>
      </c>
      <c r="F31" s="6" t="s">
        <v>41</v>
      </c>
      <c r="G31" s="6"/>
      <c r="H31" s="6" t="s">
        <v>41</v>
      </c>
      <c r="I31" s="6" t="s">
        <v>39</v>
      </c>
      <c r="J31" s="6" t="s">
        <v>39</v>
      </c>
      <c r="K31" s="6" t="s">
        <v>41</v>
      </c>
      <c r="L31" s="6" t="s">
        <v>39</v>
      </c>
      <c r="M31" s="6"/>
      <c r="N31" s="6" t="s">
        <v>39</v>
      </c>
      <c r="O31" s="6"/>
      <c r="P31" s="6"/>
      <c r="Q31" s="48">
        <f t="shared" si="4"/>
        <v>60000</v>
      </c>
      <c r="R31" s="41"/>
      <c r="S31" s="41">
        <v>60000</v>
      </c>
      <c r="T31" s="41" t="s">
        <v>43</v>
      </c>
      <c r="U31" s="41"/>
      <c r="V31" s="41" t="s">
        <v>41</v>
      </c>
      <c r="W31" s="41"/>
      <c r="X31" s="41" t="s">
        <v>41</v>
      </c>
      <c r="Y31" s="41"/>
      <c r="Z31" s="41"/>
      <c r="AA31" s="41" t="s">
        <v>41</v>
      </c>
      <c r="AB31" s="6"/>
      <c r="AC31" s="6" t="s">
        <v>39</v>
      </c>
      <c r="AD31" s="6"/>
      <c r="AE31" s="5">
        <v>45927</v>
      </c>
      <c r="AF31" s="6" t="s">
        <v>50</v>
      </c>
      <c r="AG31" s="41">
        <f t="shared" si="1"/>
        <v>60000</v>
      </c>
      <c r="AH31" s="41"/>
      <c r="AI31" s="41">
        <v>60000</v>
      </c>
      <c r="AJ31" s="41" t="s">
        <v>43</v>
      </c>
      <c r="AK31" s="41"/>
      <c r="AL31" s="41"/>
      <c r="AM31" s="41"/>
      <c r="AN31" s="6"/>
      <c r="AO31" s="6" t="s">
        <v>39</v>
      </c>
      <c r="AP31" s="6"/>
      <c r="AQ31" s="5">
        <v>45927</v>
      </c>
      <c r="AR31" s="6" t="s">
        <v>50</v>
      </c>
      <c r="AS31" s="42">
        <f t="shared" si="2"/>
        <v>12</v>
      </c>
      <c r="AU31" s="1">
        <v>12</v>
      </c>
      <c r="AZ31" s="47">
        <f t="shared" si="3"/>
        <v>5000</v>
      </c>
    </row>
    <row r="32" spans="1:52">
      <c r="A32" s="4"/>
      <c r="B32" s="5">
        <v>45928</v>
      </c>
      <c r="C32" s="6"/>
      <c r="D32" s="6" t="s">
        <v>39</v>
      </c>
      <c r="E32" s="6"/>
      <c r="F32" s="6"/>
      <c r="G32" s="6" t="s">
        <v>39</v>
      </c>
      <c r="H32" s="6"/>
      <c r="I32" s="6" t="s">
        <v>39</v>
      </c>
      <c r="J32" s="6" t="s">
        <v>39</v>
      </c>
      <c r="K32" s="6" t="s">
        <v>39</v>
      </c>
      <c r="L32" s="6" t="s">
        <v>39</v>
      </c>
      <c r="M32" s="6"/>
      <c r="N32" s="6" t="s">
        <v>39</v>
      </c>
      <c r="O32" s="6"/>
      <c r="P32" s="6"/>
      <c r="Q32" s="48">
        <f t="shared" si="4"/>
        <v>70000</v>
      </c>
      <c r="R32" s="41">
        <v>70000</v>
      </c>
      <c r="S32" s="41"/>
      <c r="T32" s="41"/>
      <c r="U32" s="41"/>
      <c r="V32" s="41"/>
      <c r="W32" s="41"/>
      <c r="X32" s="41"/>
      <c r="Y32" s="41"/>
      <c r="Z32" s="41"/>
      <c r="AA32" s="41"/>
      <c r="AB32" s="6"/>
      <c r="AC32" s="6" t="s">
        <v>39</v>
      </c>
      <c r="AD32" s="6" t="s">
        <v>39</v>
      </c>
      <c r="AE32" s="5">
        <v>45928</v>
      </c>
      <c r="AF32" s="6" t="s">
        <v>51</v>
      </c>
      <c r="AG32" s="41">
        <f t="shared" si="1"/>
        <v>45000</v>
      </c>
      <c r="AH32" s="41">
        <v>45000</v>
      </c>
      <c r="AI32" s="41"/>
      <c r="AJ32" s="41"/>
      <c r="AK32" s="41"/>
      <c r="AL32" s="41"/>
      <c r="AM32" s="41"/>
      <c r="AN32" s="6"/>
      <c r="AO32" s="6" t="s">
        <v>39</v>
      </c>
      <c r="AP32" s="6" t="s">
        <v>39</v>
      </c>
      <c r="AQ32" s="5">
        <v>45928</v>
      </c>
      <c r="AR32" s="6" t="s">
        <v>51</v>
      </c>
      <c r="AS32" s="42">
        <f t="shared" si="2"/>
        <v>9</v>
      </c>
      <c r="AT32" s="1">
        <v>9</v>
      </c>
      <c r="AZ32" s="47">
        <f t="shared" si="3"/>
        <v>5000</v>
      </c>
    </row>
    <row r="33" spans="1:52">
      <c r="A33" s="4"/>
      <c r="B33" s="5">
        <v>45929</v>
      </c>
      <c r="C33" s="6"/>
      <c r="D33" s="6" t="s">
        <v>39</v>
      </c>
      <c r="E33" s="6"/>
      <c r="F33" s="6" t="s">
        <v>39</v>
      </c>
      <c r="G33" s="6" t="s">
        <v>39</v>
      </c>
      <c r="H33" s="6"/>
      <c r="I33" s="6" t="s">
        <v>39</v>
      </c>
      <c r="J33" s="6"/>
      <c r="K33" s="6"/>
      <c r="L33" s="6" t="s">
        <v>39</v>
      </c>
      <c r="M33" s="6" t="s">
        <v>39</v>
      </c>
      <c r="N33" s="6"/>
      <c r="O33" s="6"/>
      <c r="P33" s="6"/>
      <c r="Q33" s="48">
        <f t="shared" si="4"/>
        <v>40000</v>
      </c>
      <c r="R33" s="41">
        <v>20000</v>
      </c>
      <c r="S33" s="41"/>
      <c r="T33" s="41"/>
      <c r="U33" s="41"/>
      <c r="V33" s="41">
        <v>20000</v>
      </c>
      <c r="W33" s="41"/>
      <c r="X33" s="41"/>
      <c r="Y33" s="41"/>
      <c r="Z33" s="41"/>
      <c r="AA33" s="41"/>
      <c r="AB33" s="6"/>
      <c r="AC33" s="6"/>
      <c r="AD33" s="6" t="s">
        <v>39</v>
      </c>
      <c r="AE33" s="5">
        <v>45929</v>
      </c>
      <c r="AF33" s="6" t="s">
        <v>45</v>
      </c>
      <c r="AG33" s="41">
        <f t="shared" si="1"/>
        <v>30000</v>
      </c>
      <c r="AH33" s="41">
        <v>20000</v>
      </c>
      <c r="AI33" s="41"/>
      <c r="AJ33" s="41"/>
      <c r="AK33" s="41"/>
      <c r="AL33" s="41">
        <v>10000</v>
      </c>
      <c r="AM33" s="41"/>
      <c r="AN33" s="6"/>
      <c r="AO33" s="6"/>
      <c r="AP33" s="6" t="s">
        <v>39</v>
      </c>
      <c r="AQ33" s="5">
        <v>45929</v>
      </c>
      <c r="AR33" s="6" t="s">
        <v>45</v>
      </c>
      <c r="AS33" s="42">
        <f t="shared" si="2"/>
        <v>6</v>
      </c>
      <c r="AT33" s="1">
        <v>4</v>
      </c>
      <c r="AX33" s="1">
        <v>2</v>
      </c>
      <c r="AZ33" s="47">
        <f t="shared" si="3"/>
        <v>5000</v>
      </c>
    </row>
    <row r="34" spans="1:52">
      <c r="A34" s="4"/>
      <c r="B34" s="5">
        <v>45930</v>
      </c>
      <c r="C34" s="6"/>
      <c r="D34" s="6" t="s">
        <v>39</v>
      </c>
      <c r="E34" s="6" t="s">
        <v>39</v>
      </c>
      <c r="F34" s="6" t="s">
        <v>39</v>
      </c>
      <c r="G34" s="6" t="s">
        <v>39</v>
      </c>
      <c r="H34" s="6"/>
      <c r="I34" s="6" t="s">
        <v>39</v>
      </c>
      <c r="J34" s="6" t="s">
        <v>39</v>
      </c>
      <c r="K34" s="6" t="s">
        <v>39</v>
      </c>
      <c r="L34" s="6"/>
      <c r="M34" s="6" t="s">
        <v>39</v>
      </c>
      <c r="N34" s="6" t="s">
        <v>39</v>
      </c>
      <c r="O34" s="6"/>
      <c r="P34" s="6"/>
      <c r="Q34" s="48">
        <f t="shared" si="4"/>
        <v>70000</v>
      </c>
      <c r="R34" s="41">
        <v>30000</v>
      </c>
      <c r="S34" s="41">
        <v>20000</v>
      </c>
      <c r="T34" s="41"/>
      <c r="U34" s="41"/>
      <c r="V34" s="41">
        <v>20000</v>
      </c>
      <c r="W34" s="41"/>
      <c r="X34" s="41"/>
      <c r="Y34" s="41"/>
      <c r="Z34" s="41"/>
      <c r="AA34" s="41"/>
      <c r="AB34" s="6"/>
      <c r="AC34" s="6" t="s">
        <v>39</v>
      </c>
      <c r="AD34" s="6"/>
      <c r="AE34" s="5">
        <v>45930</v>
      </c>
      <c r="AF34" s="6" t="s">
        <v>46</v>
      </c>
      <c r="AG34" s="41">
        <f t="shared" si="1"/>
        <v>40000</v>
      </c>
      <c r="AH34" s="41">
        <v>20000</v>
      </c>
      <c r="AI34" s="41">
        <v>20000</v>
      </c>
      <c r="AJ34" s="41"/>
      <c r="AK34" s="41"/>
      <c r="AL34" s="41"/>
      <c r="AM34" s="41"/>
      <c r="AN34" s="6"/>
      <c r="AO34" s="6" t="s">
        <v>39</v>
      </c>
      <c r="AP34" s="6"/>
      <c r="AQ34" s="5">
        <v>45930</v>
      </c>
      <c r="AR34" s="6" t="s">
        <v>46</v>
      </c>
      <c r="AS34" s="42">
        <f t="shared" si="2"/>
        <v>8</v>
      </c>
      <c r="AT34" s="1">
        <v>4</v>
      </c>
      <c r="AU34" s="1">
        <v>4</v>
      </c>
      <c r="AZ34" s="47">
        <f t="shared" si="3"/>
        <v>5000</v>
      </c>
    </row>
    <row r="35" spans="1:52">
      <c r="A35" s="1" t="s">
        <v>44</v>
      </c>
      <c r="Q35" s="48">
        <f t="shared" si="4"/>
        <v>2490000</v>
      </c>
      <c r="R35" s="38">
        <f>SUM(R5:R34)</f>
        <v>880000</v>
      </c>
      <c r="S35" s="38">
        <f t="shared" ref="S35:AA35" si="5">SUM(S5:S34)</f>
        <v>880000</v>
      </c>
      <c r="T35" s="38">
        <f t="shared" si="5"/>
        <v>100000</v>
      </c>
      <c r="U35" s="38">
        <f t="shared" si="5"/>
        <v>100000</v>
      </c>
      <c r="V35" s="38">
        <f t="shared" si="5"/>
        <v>474000</v>
      </c>
      <c r="W35" s="38">
        <f t="shared" si="5"/>
        <v>18000</v>
      </c>
      <c r="X35" s="38">
        <f t="shared" si="5"/>
        <v>16000</v>
      </c>
      <c r="Y35" s="38">
        <f t="shared" si="5"/>
        <v>8000</v>
      </c>
      <c r="Z35" s="38">
        <f t="shared" si="5"/>
        <v>7000</v>
      </c>
      <c r="AA35" s="38">
        <f t="shared" si="5"/>
        <v>7000</v>
      </c>
      <c r="AG35" s="38">
        <f t="shared" ref="AG35:AM35" si="6">SUM(AG5:AG34)</f>
        <v>2045000</v>
      </c>
      <c r="AH35" s="38">
        <f t="shared" si="6"/>
        <v>695000</v>
      </c>
      <c r="AI35" s="38">
        <f t="shared" si="6"/>
        <v>805000</v>
      </c>
      <c r="AJ35" s="38">
        <f t="shared" si="6"/>
        <v>100000</v>
      </c>
      <c r="AK35" s="38">
        <f t="shared" si="6"/>
        <v>100000</v>
      </c>
      <c r="AL35" s="38">
        <f t="shared" si="6"/>
        <v>300000</v>
      </c>
      <c r="AM35" s="38">
        <f t="shared" si="6"/>
        <v>45000</v>
      </c>
      <c r="AS35" s="38">
        <f t="shared" ref="AS35:AY35" si="7">SUM(AS5:AS34)</f>
        <v>386</v>
      </c>
      <c r="AT35" s="38">
        <f t="shared" si="7"/>
        <v>141</v>
      </c>
      <c r="AU35" s="38">
        <f t="shared" si="7"/>
        <v>152</v>
      </c>
      <c r="AV35" s="38">
        <f t="shared" si="7"/>
        <v>12</v>
      </c>
      <c r="AW35" s="38">
        <f t="shared" si="7"/>
        <v>14</v>
      </c>
      <c r="AX35" s="38">
        <f t="shared" si="7"/>
        <v>58</v>
      </c>
      <c r="AY35" s="38">
        <f t="shared" si="7"/>
        <v>9</v>
      </c>
      <c r="AZ35" s="47">
        <f t="shared" si="3"/>
        <v>5297.927461139896</v>
      </c>
    </row>
  </sheetData>
  <mergeCells count="21">
    <mergeCell ref="AQ2:AQ4"/>
    <mergeCell ref="AR2:AY3"/>
    <mergeCell ref="A2:A4"/>
    <mergeCell ref="B2:B4"/>
    <mergeCell ref="C3:C4"/>
    <mergeCell ref="O3:O4"/>
    <mergeCell ref="P3:P4"/>
    <mergeCell ref="C2:P2"/>
    <mergeCell ref="Q2:AD2"/>
    <mergeCell ref="AG2:AP2"/>
    <mergeCell ref="D3:E3"/>
    <mergeCell ref="F3:K3"/>
    <mergeCell ref="L3:N3"/>
    <mergeCell ref="R3:U3"/>
    <mergeCell ref="V3:AA3"/>
    <mergeCell ref="AB3:AD3"/>
    <mergeCell ref="AH3:AM3"/>
    <mergeCell ref="AN3:AP3"/>
    <mergeCell ref="Q3:Q4"/>
    <mergeCell ref="AG3:AG4"/>
    <mergeCell ref="AE2:AE4"/>
  </mergeCells>
  <phoneticPr fontId="6" type="noConversion"/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ZHOU Joey</cp:lastModifiedBy>
  <dcterms:created xsi:type="dcterms:W3CDTF">2025-07-25T15:52:00Z</dcterms:created>
  <dcterms:modified xsi:type="dcterms:W3CDTF">2025-08-29T12:28:35Z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15EB4AF373AA49FEB37DFDD21921A7A9_13</vt:lpwstr>
  </property>
  <property fmtid="{D5CDD505-2E9C-101B-9397-08002B2CF9AE}" pid="3" name="KSOProductBuildVer">
    <vt:lpwstr>2052-12.25.0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2025-08-29T12:27:20Z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3d597f28-83f3-47a1-852f-231c1168aa2a</vt:lpwstr>
  </property>
  <property fmtid="{D5CDD505-2E9C-101B-9397-08002B2CF9AE}" pid="10" name="MSIP_Label_f43b7177-c66c-4b22-a350-7ee86f9a1e74_ContentBits">
    <vt:lpwstr>2</vt:lpwstr>
  </property>
</Properties>
</file>