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8\"/>
    </mc:Choice>
  </mc:AlternateContent>
  <xr:revisionPtr revIDLastSave="0" documentId="13_ncr:1_{9BD6B0D0-7617-4199-B52F-4EFBE298DBE5}" xr6:coauthVersionLast="47" xr6:coauthVersionMax="47" xr10:uidLastSave="{00000000-0000-0000-0000-000000000000}"/>
  <bookViews>
    <workbookView xWindow="-110" yWindow="-110" windowWidth="19420" windowHeight="10300" tabRatio="684" activeTab="2" xr2:uid="{00000000-000D-0000-FFFF-FFFF00000000}"/>
  </bookViews>
  <sheets>
    <sheet name="2025年一季度指标" sheetId="13" r:id="rId1"/>
    <sheet name="2025第二季度指标" sheetId="15" r:id="rId2"/>
    <sheet name="2025第三季度指标" sheetId="18" r:id="rId3"/>
    <sheet name="7月邀约追踪" sheetId="20" r:id="rId4"/>
    <sheet name="Sheet1" sheetId="21" r:id="rId5"/>
  </sheets>
  <externalReferences>
    <externalReference r:id="rId6"/>
    <externalReference r:id="rId7"/>
    <externalReference r:id="rId8"/>
  </externalReferences>
  <definedNames>
    <definedName name="_xlnm.Print_Area" localSheetId="0">'2025年一季度指标'!$A$1:$AI$107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18" l="1"/>
  <c r="U28" i="18"/>
  <c r="S34" i="18"/>
  <c r="S33" i="18"/>
  <c r="S31" i="18"/>
  <c r="S30" i="18"/>
  <c r="S29" i="18"/>
  <c r="S27" i="18"/>
  <c r="S26" i="18"/>
  <c r="S28" i="18"/>
  <c r="U5" i="18"/>
  <c r="U12" i="18"/>
  <c r="U4" i="18"/>
  <c r="Q6" i="18"/>
  <c r="Q7" i="18"/>
  <c r="Q10" i="18"/>
  <c r="Q11" i="18"/>
  <c r="Q5" i="18"/>
  <c r="Q13" i="18"/>
  <c r="Q14" i="18"/>
  <c r="Q12" i="18"/>
  <c r="Q4" i="18"/>
  <c r="V4" i="18"/>
  <c r="U8" i="18"/>
  <c r="S14" i="18"/>
  <c r="S13" i="18"/>
  <c r="S11" i="18"/>
  <c r="S10" i="18"/>
  <c r="S8" i="18"/>
  <c r="S7" i="18"/>
  <c r="S6" i="18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Q34" i="18"/>
  <c r="Q33" i="18"/>
  <c r="Q31" i="18"/>
  <c r="Q30" i="18"/>
  <c r="Q28" i="18"/>
  <c r="Q27" i="18"/>
  <c r="Q26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Q8" i="18"/>
  <c r="W55" i="18"/>
  <c r="U25" i="18"/>
  <c r="U32" i="18"/>
  <c r="U24" i="18"/>
  <c r="U36" i="18"/>
  <c r="U16" i="18"/>
  <c r="U55" i="18"/>
  <c r="S25" i="18"/>
  <c r="S32" i="18"/>
  <c r="S24" i="18"/>
  <c r="S36" i="18"/>
  <c r="S5" i="18"/>
  <c r="S12" i="18"/>
  <c r="S4" i="18"/>
  <c r="S16" i="18"/>
  <c r="S55" i="18"/>
  <c r="Q25" i="18"/>
  <c r="Q32" i="18"/>
  <c r="Q24" i="18"/>
  <c r="Q36" i="18"/>
  <c r="Q16" i="18"/>
  <c r="Q55" i="18"/>
  <c r="W54" i="18"/>
  <c r="U35" i="18"/>
  <c r="U15" i="18"/>
  <c r="U54" i="18"/>
  <c r="S35" i="18"/>
  <c r="S15" i="18"/>
  <c r="S54" i="18"/>
  <c r="Q35" i="18"/>
  <c r="Q15" i="18"/>
  <c r="Q54" i="18"/>
  <c r="W53" i="18"/>
  <c r="U53" i="18"/>
  <c r="S53" i="18"/>
  <c r="Q53" i="18"/>
  <c r="W52" i="18"/>
  <c r="U52" i="18"/>
  <c r="S52" i="18"/>
  <c r="Q52" i="18"/>
  <c r="W32" i="18"/>
  <c r="W51" i="18"/>
  <c r="U51" i="18"/>
  <c r="S51" i="18"/>
  <c r="Q51" i="18"/>
  <c r="W50" i="18"/>
  <c r="U50" i="18"/>
  <c r="S50" i="18"/>
  <c r="Q50" i="18"/>
  <c r="W49" i="18"/>
  <c r="U49" i="18"/>
  <c r="S49" i="18"/>
  <c r="Q49" i="18"/>
  <c r="W48" i="18"/>
  <c r="U9" i="18"/>
  <c r="U48" i="18"/>
  <c r="S9" i="18"/>
  <c r="S48" i="18"/>
  <c r="Q29" i="18"/>
  <c r="Q9" i="18"/>
  <c r="Q48" i="18"/>
  <c r="W47" i="18"/>
  <c r="U47" i="18"/>
  <c r="S47" i="18"/>
  <c r="Q47" i="18"/>
  <c r="W46" i="18"/>
  <c r="U46" i="18"/>
  <c r="S46" i="18"/>
  <c r="Q46" i="18"/>
  <c r="W45" i="18"/>
  <c r="U45" i="18"/>
  <c r="S45" i="18"/>
  <c r="Q45" i="18"/>
  <c r="W25" i="18"/>
  <c r="W44" i="18"/>
  <c r="U44" i="18"/>
  <c r="S44" i="18"/>
  <c r="Q44" i="18"/>
  <c r="W24" i="18"/>
  <c r="W43" i="18"/>
  <c r="U43" i="18"/>
  <c r="S43" i="18"/>
  <c r="Q43" i="18"/>
  <c r="Y36" i="18"/>
  <c r="X36" i="18"/>
  <c r="V36" i="18"/>
  <c r="T36" i="18"/>
  <c r="Y35" i="18"/>
  <c r="X35" i="18"/>
  <c r="V35" i="18"/>
  <c r="T35" i="18"/>
  <c r="Y34" i="18"/>
  <c r="X34" i="18"/>
  <c r="V34" i="18"/>
  <c r="T34" i="18"/>
  <c r="Y33" i="18"/>
  <c r="X33" i="18"/>
  <c r="V33" i="18"/>
  <c r="T33" i="18"/>
  <c r="Y32" i="18"/>
  <c r="X32" i="18"/>
  <c r="V32" i="18"/>
  <c r="T32" i="18"/>
  <c r="Y31" i="18"/>
  <c r="X31" i="18"/>
  <c r="V31" i="18"/>
  <c r="T31" i="18"/>
  <c r="Y30" i="18"/>
  <c r="X30" i="18"/>
  <c r="V30" i="18"/>
  <c r="T30" i="18"/>
  <c r="Y29" i="18"/>
  <c r="X29" i="18"/>
  <c r="V29" i="18"/>
  <c r="T29" i="18"/>
  <c r="T28" i="18"/>
  <c r="Y27" i="18"/>
  <c r="X27" i="18"/>
  <c r="V27" i="18"/>
  <c r="T27" i="18"/>
  <c r="Y26" i="18"/>
  <c r="X26" i="18"/>
  <c r="V26" i="18"/>
  <c r="T26" i="18"/>
  <c r="Y25" i="18"/>
  <c r="X25" i="18"/>
  <c r="V25" i="18"/>
  <c r="T25" i="18"/>
  <c r="Y24" i="18"/>
  <c r="X24" i="18"/>
  <c r="V24" i="18"/>
  <c r="T24" i="18"/>
  <c r="Y16" i="18"/>
  <c r="X16" i="18"/>
  <c r="V16" i="18"/>
  <c r="T16" i="18"/>
  <c r="Y15" i="18"/>
  <c r="X15" i="18"/>
  <c r="V15" i="18"/>
  <c r="T15" i="18"/>
  <c r="Y14" i="18"/>
  <c r="X14" i="18"/>
  <c r="V14" i="18"/>
  <c r="T14" i="18"/>
  <c r="Y13" i="18"/>
  <c r="X13" i="18"/>
  <c r="V13" i="18"/>
  <c r="T13" i="18"/>
  <c r="Y12" i="18"/>
  <c r="X12" i="18"/>
  <c r="V12" i="18"/>
  <c r="T12" i="18"/>
  <c r="Y11" i="18"/>
  <c r="X11" i="18"/>
  <c r="V11" i="18"/>
  <c r="T11" i="18"/>
  <c r="Y10" i="18"/>
  <c r="X10" i="18"/>
  <c r="V10" i="18"/>
  <c r="T10" i="18"/>
  <c r="Y9" i="18"/>
  <c r="X9" i="18"/>
  <c r="V9" i="18"/>
  <c r="T9" i="18"/>
  <c r="T8" i="18"/>
  <c r="Y7" i="18"/>
  <c r="X7" i="18"/>
  <c r="V7" i="18"/>
  <c r="T7" i="18"/>
  <c r="Y6" i="18"/>
  <c r="X6" i="18"/>
  <c r="V6" i="18"/>
  <c r="T6" i="18"/>
  <c r="Y5" i="18"/>
  <c r="X5" i="18"/>
  <c r="V5" i="18"/>
  <c r="T5" i="18"/>
  <c r="Y4" i="18"/>
  <c r="X4" i="18"/>
  <c r="T4" i="18"/>
  <c r="T13" i="21"/>
  <c r="T10" i="21"/>
  <c r="T11" i="21"/>
  <c r="T9" i="21"/>
  <c r="T8" i="21"/>
  <c r="T7" i="21"/>
  <c r="T4" i="21"/>
  <c r="S13" i="21"/>
  <c r="F7" i="21"/>
  <c r="F4" i="21"/>
  <c r="I64" i="20"/>
  <c r="K140" i="20"/>
  <c r="K220" i="20"/>
  <c r="O13" i="21"/>
  <c r="O11" i="21"/>
  <c r="O10" i="21"/>
  <c r="O9" i="21"/>
  <c r="O8" i="21"/>
  <c r="O7" i="21"/>
  <c r="O4" i="21"/>
  <c r="M9" i="21"/>
  <c r="M10" i="21"/>
  <c r="M11" i="21"/>
  <c r="M8" i="21"/>
  <c r="M5" i="21"/>
  <c r="M4" i="21"/>
  <c r="L9" i="21"/>
  <c r="L10" i="21"/>
  <c r="L11" i="21"/>
  <c r="L8" i="21"/>
  <c r="L5" i="21"/>
  <c r="L4" i="21"/>
  <c r="M7" i="21"/>
  <c r="M13" i="21"/>
  <c r="R13" i="21"/>
  <c r="R11" i="21"/>
  <c r="R10" i="21"/>
  <c r="R9" i="21"/>
  <c r="R8" i="21"/>
  <c r="R7" i="21"/>
  <c r="R4" i="21"/>
  <c r="M12" i="21"/>
  <c r="F10" i="21"/>
  <c r="F11" i="21"/>
  <c r="J225" i="20"/>
  <c r="P11" i="21"/>
  <c r="U11" i="21"/>
  <c r="F226" i="20"/>
  <c r="J226" i="20"/>
  <c r="P12" i="21"/>
  <c r="U12" i="21"/>
  <c r="J224" i="20"/>
  <c r="K224" i="20"/>
  <c r="J221" i="20"/>
  <c r="P5" i="21"/>
  <c r="U5" i="21"/>
  <c r="U6" i="21"/>
  <c r="P7" i="21"/>
  <c r="U7" i="21"/>
  <c r="J222" i="20"/>
  <c r="P8" i="21"/>
  <c r="U8" i="21"/>
  <c r="J223" i="20"/>
  <c r="P9" i="21"/>
  <c r="U9" i="21"/>
  <c r="P10" i="21"/>
  <c r="U10" i="21"/>
  <c r="P13" i="21"/>
  <c r="U13" i="21"/>
  <c r="K221" i="20"/>
  <c r="K222" i="20"/>
  <c r="K223" i="20"/>
  <c r="K225" i="20"/>
  <c r="K226" i="20"/>
  <c r="J220" i="20"/>
  <c r="P4" i="21"/>
  <c r="U4" i="21"/>
  <c r="R5" i="21"/>
  <c r="R6" i="21"/>
  <c r="I222" i="20"/>
  <c r="I223" i="20"/>
  <c r="I224" i="20"/>
  <c r="I225" i="20"/>
  <c r="R12" i="21"/>
  <c r="Q5" i="21"/>
  <c r="Q6" i="21"/>
  <c r="L7" i="21"/>
  <c r="Q7" i="21"/>
  <c r="Q8" i="21"/>
  <c r="Q9" i="21"/>
  <c r="Q10" i="21"/>
  <c r="Q11" i="21"/>
  <c r="L12" i="21"/>
  <c r="Q12" i="21"/>
  <c r="L13" i="21"/>
  <c r="Q13" i="21"/>
  <c r="Q4" i="21"/>
  <c r="N13" i="21"/>
  <c r="N12" i="21"/>
  <c r="N11" i="21"/>
  <c r="N10" i="21"/>
  <c r="N9" i="21"/>
  <c r="N8" i="21"/>
  <c r="N7" i="21"/>
  <c r="N5" i="21"/>
  <c r="N4" i="21"/>
  <c r="H9" i="21"/>
  <c r="H10" i="21"/>
  <c r="H11" i="21"/>
  <c r="J11" i="21"/>
  <c r="K11" i="21"/>
  <c r="H8" i="21"/>
  <c r="K8" i="21"/>
  <c r="H5" i="21"/>
  <c r="H7" i="21"/>
  <c r="H4" i="21"/>
  <c r="C9" i="21"/>
  <c r="D9" i="21"/>
  <c r="C10" i="21"/>
  <c r="D10" i="21"/>
  <c r="C11" i="21"/>
  <c r="C8" i="21"/>
  <c r="E8" i="21"/>
  <c r="C5" i="21"/>
  <c r="C7" i="21"/>
  <c r="E7" i="21"/>
  <c r="C4" i="21"/>
  <c r="I208" i="20"/>
  <c r="I209" i="20"/>
  <c r="I210" i="20"/>
  <c r="I211" i="20"/>
  <c r="I212" i="20"/>
  <c r="I213" i="20"/>
  <c r="K10" i="21"/>
  <c r="K9" i="21"/>
  <c r="J10" i="21"/>
  <c r="J9" i="21"/>
  <c r="I10" i="21"/>
  <c r="I9" i="21"/>
  <c r="I6" i="21"/>
  <c r="I5" i="21"/>
  <c r="I4" i="21"/>
  <c r="G12" i="21"/>
  <c r="G13" i="21"/>
  <c r="B12" i="21"/>
  <c r="G7" i="21"/>
  <c r="E11" i="21"/>
  <c r="D6" i="21"/>
  <c r="D11" i="21"/>
  <c r="B7" i="21"/>
  <c r="I90" i="20"/>
  <c r="S6" i="21"/>
  <c r="S5" i="21"/>
  <c r="J8" i="21"/>
  <c r="E9" i="21"/>
  <c r="C12" i="21"/>
  <c r="D12" i="21"/>
  <c r="D4" i="21"/>
  <c r="D5" i="21"/>
  <c r="J7" i="21"/>
  <c r="I7" i="21"/>
  <c r="C13" i="21"/>
  <c r="K4" i="21"/>
  <c r="E4" i="21"/>
  <c r="B13" i="21"/>
  <c r="I11" i="21"/>
  <c r="H12" i="21"/>
  <c r="I8" i="21"/>
  <c r="K7" i="21"/>
  <c r="J4" i="21"/>
  <c r="F13" i="21"/>
  <c r="E13" i="21"/>
  <c r="F9" i="21"/>
  <c r="E10" i="21"/>
  <c r="S11" i="21"/>
  <c r="D8" i="21"/>
  <c r="F8" i="21"/>
  <c r="S4" i="21"/>
  <c r="I12" i="21"/>
  <c r="D7" i="21"/>
  <c r="S12" i="21"/>
  <c r="D13" i="21"/>
  <c r="H13" i="21"/>
  <c r="S9" i="21"/>
  <c r="S10" i="21"/>
  <c r="S8" i="21"/>
  <c r="S7" i="21"/>
  <c r="I13" i="21"/>
  <c r="J13" i="21"/>
  <c r="K13" i="21"/>
  <c r="C135" i="20"/>
  <c r="J141" i="20"/>
  <c r="J142" i="20"/>
  <c r="J143" i="20"/>
  <c r="J144" i="20"/>
  <c r="J145" i="20"/>
  <c r="D146" i="20"/>
  <c r="J140" i="20"/>
  <c r="H13" i="20"/>
  <c r="H28" i="20"/>
  <c r="H34" i="20"/>
  <c r="H29" i="20"/>
  <c r="H30" i="20"/>
  <c r="H31" i="20"/>
  <c r="H32" i="20"/>
  <c r="H33" i="20"/>
  <c r="H64" i="20"/>
  <c r="J64" i="20"/>
  <c r="H65" i="20"/>
  <c r="H9" i="18"/>
  <c r="K65" i="20"/>
  <c r="H66" i="20"/>
  <c r="J66" i="20"/>
  <c r="H67" i="20"/>
  <c r="J67" i="20"/>
  <c r="H68" i="20"/>
  <c r="J68" i="20"/>
  <c r="H69" i="20"/>
  <c r="J69" i="20"/>
  <c r="H73" i="20"/>
  <c r="G70" i="20"/>
  <c r="G74" i="20"/>
  <c r="E70" i="20"/>
  <c r="F70" i="20"/>
  <c r="B34" i="20"/>
  <c r="C34" i="20"/>
  <c r="D34" i="20"/>
  <c r="E34" i="20"/>
  <c r="F34" i="20"/>
  <c r="G34" i="20"/>
  <c r="B70" i="20"/>
  <c r="C70" i="20"/>
  <c r="D70" i="20"/>
  <c r="J65" i="20"/>
  <c r="I65" i="20"/>
  <c r="I66" i="20"/>
  <c r="I67" i="20"/>
  <c r="I68" i="20"/>
  <c r="I69" i="20"/>
  <c r="T64" i="20"/>
  <c r="T65" i="20"/>
  <c r="T66" i="20"/>
  <c r="T67" i="20"/>
  <c r="T68" i="20"/>
  <c r="T69" i="20"/>
  <c r="T70" i="20"/>
  <c r="H25" i="18"/>
  <c r="H32" i="18"/>
  <c r="H24" i="18"/>
  <c r="H36" i="18"/>
  <c r="W70" i="20"/>
  <c r="W69" i="20"/>
  <c r="W68" i="20"/>
  <c r="W67" i="20"/>
  <c r="W66" i="20"/>
  <c r="H29" i="18"/>
  <c r="W65" i="20"/>
  <c r="W64" i="20"/>
  <c r="V64" i="20"/>
  <c r="N34" i="20"/>
  <c r="V70" i="20"/>
  <c r="O34" i="20"/>
  <c r="V69" i="20"/>
  <c r="V68" i="20"/>
  <c r="V67" i="20"/>
  <c r="V66" i="20"/>
  <c r="V65" i="20"/>
  <c r="U65" i="20"/>
  <c r="U66" i="20"/>
  <c r="U67" i="20"/>
  <c r="U68" i="20"/>
  <c r="U69" i="20"/>
  <c r="N70" i="20"/>
  <c r="O70" i="20"/>
  <c r="U70" i="20"/>
  <c r="U64" i="20"/>
  <c r="C355" i="20"/>
  <c r="B266" i="20"/>
  <c r="B46" i="20"/>
  <c r="E367" i="20"/>
  <c r="D367" i="20"/>
  <c r="C367" i="20"/>
  <c r="B367" i="20"/>
  <c r="F366" i="20"/>
  <c r="F365" i="20"/>
  <c r="I365" i="20"/>
  <c r="F364" i="20"/>
  <c r="F363" i="20"/>
  <c r="F362" i="20"/>
  <c r="I362" i="20"/>
  <c r="F361" i="20"/>
  <c r="F326" i="20"/>
  <c r="F327" i="20"/>
  <c r="F329" i="20"/>
  <c r="F328" i="20"/>
  <c r="F324" i="20"/>
  <c r="I361" i="20"/>
  <c r="F325" i="20"/>
  <c r="F330" i="20"/>
  <c r="Q342" i="20"/>
  <c r="P342" i="20"/>
  <c r="O342" i="20"/>
  <c r="N342" i="20"/>
  <c r="E342" i="20"/>
  <c r="D342" i="20"/>
  <c r="C342" i="20"/>
  <c r="B342" i="20"/>
  <c r="R341" i="20"/>
  <c r="F341" i="20"/>
  <c r="R340" i="20"/>
  <c r="F340" i="20"/>
  <c r="R339" i="20"/>
  <c r="F339" i="20"/>
  <c r="R338" i="20"/>
  <c r="F338" i="20"/>
  <c r="R337" i="20"/>
  <c r="F337" i="20"/>
  <c r="R336" i="20"/>
  <c r="F336" i="20"/>
  <c r="E330" i="20"/>
  <c r="D330" i="20"/>
  <c r="C330" i="20"/>
  <c r="B330" i="20"/>
  <c r="Q316" i="20"/>
  <c r="P316" i="20"/>
  <c r="O316" i="20"/>
  <c r="N316" i="20"/>
  <c r="E316" i="20"/>
  <c r="D316" i="20"/>
  <c r="C316" i="20"/>
  <c r="B316" i="20"/>
  <c r="R315" i="20"/>
  <c r="F315" i="20"/>
  <c r="R314" i="20"/>
  <c r="F314" i="20"/>
  <c r="R313" i="20"/>
  <c r="F313" i="20"/>
  <c r="R312" i="20"/>
  <c r="F312" i="20"/>
  <c r="R311" i="20"/>
  <c r="F311" i="20"/>
  <c r="R310" i="20"/>
  <c r="F310" i="20"/>
  <c r="T303" i="20"/>
  <c r="S303" i="20"/>
  <c r="R303" i="20"/>
  <c r="Q303" i="20"/>
  <c r="P303" i="20"/>
  <c r="O303" i="20"/>
  <c r="N303" i="20"/>
  <c r="H303" i="20"/>
  <c r="G303" i="20"/>
  <c r="F303" i="20"/>
  <c r="E303" i="20"/>
  <c r="D303" i="20"/>
  <c r="C303" i="20"/>
  <c r="B303" i="20"/>
  <c r="U302" i="20"/>
  <c r="I302" i="20"/>
  <c r="U301" i="20"/>
  <c r="I301" i="20"/>
  <c r="U300" i="20"/>
  <c r="I300" i="20"/>
  <c r="U299" i="20"/>
  <c r="I299" i="20"/>
  <c r="U298" i="20"/>
  <c r="I298" i="20"/>
  <c r="U297" i="20"/>
  <c r="I297" i="20"/>
  <c r="H291" i="20"/>
  <c r="G291" i="20"/>
  <c r="F291" i="20"/>
  <c r="E291" i="20"/>
  <c r="D291" i="20"/>
  <c r="C291" i="20"/>
  <c r="B291" i="20"/>
  <c r="I290" i="20"/>
  <c r="J290" i="20"/>
  <c r="I289" i="20"/>
  <c r="L289" i="20"/>
  <c r="I288" i="20"/>
  <c r="L288" i="20"/>
  <c r="I287" i="20"/>
  <c r="J287" i="20"/>
  <c r="I286" i="20"/>
  <c r="L286" i="20"/>
  <c r="I285" i="20"/>
  <c r="L285" i="20"/>
  <c r="T266" i="20"/>
  <c r="S266" i="20"/>
  <c r="R266" i="20"/>
  <c r="Q266" i="20"/>
  <c r="P266" i="20"/>
  <c r="O266" i="20"/>
  <c r="N266" i="20"/>
  <c r="H266" i="20"/>
  <c r="G266" i="20"/>
  <c r="F266" i="20"/>
  <c r="E266" i="20"/>
  <c r="D266" i="20"/>
  <c r="C266" i="20"/>
  <c r="U265" i="20"/>
  <c r="I265" i="20"/>
  <c r="U264" i="20"/>
  <c r="I264" i="20"/>
  <c r="U263" i="20"/>
  <c r="I263" i="20"/>
  <c r="U262" i="20"/>
  <c r="I262" i="20"/>
  <c r="U261" i="20"/>
  <c r="I261" i="20"/>
  <c r="U260" i="20"/>
  <c r="I260" i="20"/>
  <c r="T226" i="20"/>
  <c r="S226" i="20"/>
  <c r="R226" i="20"/>
  <c r="Q226" i="20"/>
  <c r="P226" i="20"/>
  <c r="O226" i="20"/>
  <c r="N226" i="20"/>
  <c r="H226" i="20"/>
  <c r="G226" i="20"/>
  <c r="E226" i="20"/>
  <c r="D226" i="20"/>
  <c r="C226" i="20"/>
  <c r="B226" i="20"/>
  <c r="U225" i="20"/>
  <c r="U224" i="20"/>
  <c r="U223" i="20"/>
  <c r="U222" i="20"/>
  <c r="U221" i="20"/>
  <c r="I221" i="20"/>
  <c r="U220" i="20"/>
  <c r="I220" i="20"/>
  <c r="I226" i="20"/>
  <c r="C278" i="20"/>
  <c r="B278" i="20"/>
  <c r="I275" i="20"/>
  <c r="T240" i="20"/>
  <c r="S240" i="20"/>
  <c r="R240" i="20"/>
  <c r="Q240" i="20"/>
  <c r="P240" i="20"/>
  <c r="O240" i="20"/>
  <c r="N240" i="20"/>
  <c r="H240" i="20"/>
  <c r="G240" i="20"/>
  <c r="F240" i="20"/>
  <c r="E240" i="20"/>
  <c r="D240" i="20"/>
  <c r="C240" i="20"/>
  <c r="B240" i="20"/>
  <c r="U239" i="20"/>
  <c r="I239" i="20"/>
  <c r="U238" i="20"/>
  <c r="I238" i="20"/>
  <c r="U237" i="20"/>
  <c r="I237" i="20"/>
  <c r="U236" i="20"/>
  <c r="I236" i="20"/>
  <c r="U235" i="20"/>
  <c r="I235" i="20"/>
  <c r="U234" i="20"/>
  <c r="I234" i="20"/>
  <c r="N188" i="20"/>
  <c r="T188" i="20"/>
  <c r="S188" i="20"/>
  <c r="R188" i="20"/>
  <c r="Q188" i="20"/>
  <c r="P188" i="20"/>
  <c r="O188" i="20"/>
  <c r="H188" i="20"/>
  <c r="G188" i="20"/>
  <c r="F188" i="20"/>
  <c r="E188" i="20"/>
  <c r="D188" i="20"/>
  <c r="C188" i="20"/>
  <c r="B188" i="20"/>
  <c r="U187" i="20"/>
  <c r="I187" i="20"/>
  <c r="U186" i="20"/>
  <c r="I186" i="20"/>
  <c r="U185" i="20"/>
  <c r="I185" i="20"/>
  <c r="U184" i="20"/>
  <c r="I184" i="20"/>
  <c r="U183" i="20"/>
  <c r="I183" i="20"/>
  <c r="U182" i="20"/>
  <c r="I182" i="20"/>
  <c r="H214" i="20"/>
  <c r="G214" i="20"/>
  <c r="F214" i="20"/>
  <c r="E214" i="20"/>
  <c r="D214" i="20"/>
  <c r="C214" i="20"/>
  <c r="B214" i="20"/>
  <c r="L213" i="20"/>
  <c r="L211" i="20"/>
  <c r="L210" i="20"/>
  <c r="L208" i="20"/>
  <c r="I197" i="20"/>
  <c r="J211" i="20"/>
  <c r="T163" i="20"/>
  <c r="S163" i="20"/>
  <c r="R163" i="20"/>
  <c r="Q163" i="20"/>
  <c r="P163" i="20"/>
  <c r="O163" i="20"/>
  <c r="N163" i="20"/>
  <c r="H163" i="20"/>
  <c r="G163" i="20"/>
  <c r="F163" i="20"/>
  <c r="E163" i="20"/>
  <c r="D163" i="20"/>
  <c r="C163" i="20"/>
  <c r="B163" i="20"/>
  <c r="U162" i="20"/>
  <c r="I162" i="20"/>
  <c r="U161" i="20"/>
  <c r="I161" i="20"/>
  <c r="U160" i="20"/>
  <c r="I160" i="20"/>
  <c r="U159" i="20"/>
  <c r="I159" i="20"/>
  <c r="U158" i="20"/>
  <c r="I158" i="20"/>
  <c r="U157" i="20"/>
  <c r="I157" i="20"/>
  <c r="T146" i="20"/>
  <c r="S146" i="20"/>
  <c r="R146" i="20"/>
  <c r="Q146" i="20"/>
  <c r="P146" i="20"/>
  <c r="O146" i="20"/>
  <c r="N146" i="20"/>
  <c r="U145" i="20"/>
  <c r="U144" i="20"/>
  <c r="U143" i="20"/>
  <c r="U142" i="20"/>
  <c r="U141" i="20"/>
  <c r="U140" i="20"/>
  <c r="U105" i="20"/>
  <c r="T111" i="20"/>
  <c r="S111" i="20"/>
  <c r="R111" i="20"/>
  <c r="Q111" i="20"/>
  <c r="P111" i="20"/>
  <c r="O111" i="20"/>
  <c r="N111" i="20"/>
  <c r="U110" i="20"/>
  <c r="U109" i="20"/>
  <c r="U108" i="20"/>
  <c r="U107" i="20"/>
  <c r="U106" i="20"/>
  <c r="H146" i="20"/>
  <c r="G146" i="20"/>
  <c r="F146" i="20"/>
  <c r="E146" i="20"/>
  <c r="C146" i="20"/>
  <c r="B146" i="20"/>
  <c r="I145" i="20"/>
  <c r="I144" i="20"/>
  <c r="I143" i="20"/>
  <c r="I142" i="20"/>
  <c r="I141" i="20"/>
  <c r="I140" i="20"/>
  <c r="B111" i="20"/>
  <c r="I121" i="20"/>
  <c r="H111" i="20"/>
  <c r="G111" i="20"/>
  <c r="F111" i="20"/>
  <c r="E111" i="20"/>
  <c r="D111" i="20"/>
  <c r="C111" i="20"/>
  <c r="I110" i="20"/>
  <c r="I109" i="20"/>
  <c r="I108" i="20"/>
  <c r="I107" i="20"/>
  <c r="I106" i="20"/>
  <c r="I105" i="20"/>
  <c r="T88" i="20"/>
  <c r="S88" i="20"/>
  <c r="R88" i="20"/>
  <c r="Q88" i="20"/>
  <c r="P88" i="20"/>
  <c r="O88" i="20"/>
  <c r="N88" i="20"/>
  <c r="U87" i="20"/>
  <c r="U86" i="20"/>
  <c r="U85" i="20"/>
  <c r="U84" i="20"/>
  <c r="U83" i="20"/>
  <c r="U82" i="20"/>
  <c r="H88" i="20"/>
  <c r="G88" i="20"/>
  <c r="F88" i="20"/>
  <c r="E88" i="20"/>
  <c r="D88" i="20"/>
  <c r="C88" i="20"/>
  <c r="B88" i="20"/>
  <c r="I87" i="20"/>
  <c r="I86" i="20"/>
  <c r="I85" i="20"/>
  <c r="I84" i="20"/>
  <c r="I83" i="20"/>
  <c r="I82" i="20"/>
  <c r="S70" i="20"/>
  <c r="R70" i="20"/>
  <c r="Q70" i="20"/>
  <c r="P70" i="20"/>
  <c r="I170" i="20"/>
  <c r="F342" i="20"/>
  <c r="R342" i="20"/>
  <c r="I303" i="20"/>
  <c r="F316" i="20"/>
  <c r="R316" i="20"/>
  <c r="U303" i="20"/>
  <c r="J288" i="20"/>
  <c r="U266" i="20"/>
  <c r="I266" i="20"/>
  <c r="U226" i="20"/>
  <c r="I240" i="20"/>
  <c r="U240" i="20"/>
  <c r="U188" i="20"/>
  <c r="I188" i="20"/>
  <c r="I163" i="20"/>
  <c r="U163" i="20"/>
  <c r="U146" i="20"/>
  <c r="U111" i="20"/>
  <c r="I111" i="20"/>
  <c r="U88" i="20"/>
  <c r="I88" i="20"/>
  <c r="H40" i="20"/>
  <c r="H16" i="20"/>
  <c r="I40" i="20"/>
  <c r="K69" i="20"/>
  <c r="G46" i="20"/>
  <c r="F46" i="20"/>
  <c r="E46" i="20"/>
  <c r="D46" i="20"/>
  <c r="H44" i="20"/>
  <c r="H46" i="20"/>
  <c r="I46" i="20"/>
  <c r="H20" i="20"/>
  <c r="H43" i="20"/>
  <c r="H19" i="20"/>
  <c r="I43" i="20"/>
  <c r="H42" i="20"/>
  <c r="I54" i="20"/>
  <c r="H18" i="20"/>
  <c r="I42" i="20"/>
  <c r="H41" i="20"/>
  <c r="H17" i="20"/>
  <c r="I41" i="20"/>
  <c r="S34" i="20"/>
  <c r="R34" i="20"/>
  <c r="Q34" i="20"/>
  <c r="P34" i="20"/>
  <c r="T33" i="20"/>
  <c r="T32" i="20"/>
  <c r="T34" i="20"/>
  <c r="T31" i="20"/>
  <c r="T30" i="20"/>
  <c r="T29" i="20"/>
  <c r="T28" i="20"/>
  <c r="S10" i="20"/>
  <c r="R10" i="20"/>
  <c r="Q10" i="20"/>
  <c r="P10" i="20"/>
  <c r="O10" i="20"/>
  <c r="N10" i="20"/>
  <c r="T9" i="20"/>
  <c r="T8" i="20"/>
  <c r="T7" i="20"/>
  <c r="T6" i="20"/>
  <c r="T5" i="20"/>
  <c r="T4" i="20"/>
  <c r="G10" i="20"/>
  <c r="F10" i="20"/>
  <c r="E10" i="20"/>
  <c r="D10" i="20"/>
  <c r="C10" i="20"/>
  <c r="B10" i="20"/>
  <c r="H9" i="20"/>
  <c r="H8" i="20"/>
  <c r="H7" i="20"/>
  <c r="H6" i="20"/>
  <c r="H5" i="20"/>
  <c r="H4" i="20"/>
  <c r="H124" i="20"/>
  <c r="G124" i="20"/>
  <c r="F124" i="20"/>
  <c r="E124" i="20"/>
  <c r="D124" i="20"/>
  <c r="I122" i="20"/>
  <c r="J122" i="20"/>
  <c r="I120" i="20"/>
  <c r="J120" i="20"/>
  <c r="I119" i="20"/>
  <c r="J119" i="20"/>
  <c r="I118" i="20"/>
  <c r="J118" i="20"/>
  <c r="B58" i="20"/>
  <c r="H10" i="20"/>
  <c r="T10" i="20"/>
  <c r="F349" i="20"/>
  <c r="G349" i="20"/>
  <c r="F350" i="20"/>
  <c r="F351" i="20"/>
  <c r="F352" i="20"/>
  <c r="F353" i="20"/>
  <c r="G353" i="20"/>
  <c r="F354" i="20"/>
  <c r="G354" i="20"/>
  <c r="E355" i="20"/>
  <c r="D355" i="20"/>
  <c r="B355" i="20"/>
  <c r="I272" i="20"/>
  <c r="I273" i="20"/>
  <c r="J286" i="20"/>
  <c r="I274" i="20"/>
  <c r="I276" i="20"/>
  <c r="I277" i="20"/>
  <c r="I248" i="20"/>
  <c r="I249" i="20"/>
  <c r="I250" i="20"/>
  <c r="I251" i="20"/>
  <c r="I252" i="20"/>
  <c r="I253" i="20"/>
  <c r="L290" i="20"/>
  <c r="I194" i="20"/>
  <c r="J194" i="20"/>
  <c r="I195" i="20"/>
  <c r="J209" i="20"/>
  <c r="I196" i="20"/>
  <c r="J196" i="20"/>
  <c r="I198" i="20"/>
  <c r="J212" i="20"/>
  <c r="I199" i="20"/>
  <c r="J199" i="20"/>
  <c r="I171" i="20"/>
  <c r="L209" i="20"/>
  <c r="I172" i="20"/>
  <c r="I173" i="20"/>
  <c r="I174" i="20"/>
  <c r="I175" i="20"/>
  <c r="I130" i="20"/>
  <c r="I94" i="20"/>
  <c r="I131" i="20"/>
  <c r="L131" i="20"/>
  <c r="I95" i="20"/>
  <c r="I132" i="20"/>
  <c r="L132" i="20"/>
  <c r="I96" i="20"/>
  <c r="J121" i="20"/>
  <c r="I133" i="20"/>
  <c r="L133" i="20"/>
  <c r="I97" i="20"/>
  <c r="I134" i="20"/>
  <c r="I98" i="20"/>
  <c r="I129" i="20"/>
  <c r="B99" i="20"/>
  <c r="C99" i="20"/>
  <c r="D99" i="20"/>
  <c r="E99" i="20"/>
  <c r="F99" i="20"/>
  <c r="G99" i="20"/>
  <c r="H99" i="20"/>
  <c r="I93" i="20"/>
  <c r="H135" i="20"/>
  <c r="G135" i="20"/>
  <c r="F135" i="20"/>
  <c r="E135" i="20"/>
  <c r="D135" i="20"/>
  <c r="B135" i="20"/>
  <c r="C22" i="20"/>
  <c r="D22" i="20"/>
  <c r="E22" i="20"/>
  <c r="F22" i="20"/>
  <c r="G22" i="20"/>
  <c r="H21" i="20"/>
  <c r="B22" i="20"/>
  <c r="H278" i="20"/>
  <c r="G278" i="20"/>
  <c r="F278" i="20"/>
  <c r="E278" i="20"/>
  <c r="D278" i="20"/>
  <c r="H254" i="20"/>
  <c r="G254" i="20"/>
  <c r="F254" i="20"/>
  <c r="E254" i="20"/>
  <c r="D254" i="20"/>
  <c r="C254" i="20"/>
  <c r="B254" i="20"/>
  <c r="H200" i="20"/>
  <c r="G200" i="20"/>
  <c r="F200" i="20"/>
  <c r="E200" i="20"/>
  <c r="D200" i="20"/>
  <c r="C200" i="20"/>
  <c r="B200" i="20"/>
  <c r="H176" i="20"/>
  <c r="G176" i="20"/>
  <c r="F176" i="20"/>
  <c r="E176" i="20"/>
  <c r="D176" i="20"/>
  <c r="C176" i="20"/>
  <c r="B176" i="20"/>
  <c r="H52" i="20"/>
  <c r="H53" i="20"/>
  <c r="K53" i="20"/>
  <c r="I53" i="20"/>
  <c r="H54" i="20"/>
  <c r="H55" i="20"/>
  <c r="I55" i="20"/>
  <c r="H56" i="20"/>
  <c r="H57" i="20"/>
  <c r="K57" i="20"/>
  <c r="G58" i="20"/>
  <c r="F58" i="20"/>
  <c r="E58" i="20"/>
  <c r="D58" i="20"/>
  <c r="C58" i="20"/>
  <c r="F26" i="18"/>
  <c r="F6" i="18"/>
  <c r="F45" i="18"/>
  <c r="F27" i="18"/>
  <c r="F28" i="18"/>
  <c r="F29" i="18"/>
  <c r="F30" i="18"/>
  <c r="F31" i="18"/>
  <c r="F11" i="18"/>
  <c r="F50" i="18"/>
  <c r="F33" i="18"/>
  <c r="F13" i="18"/>
  <c r="F52" i="18"/>
  <c r="F34" i="18"/>
  <c r="F14" i="18"/>
  <c r="F53" i="18"/>
  <c r="D26" i="18"/>
  <c r="D27" i="18"/>
  <c r="D30" i="18"/>
  <c r="D31" i="18"/>
  <c r="D25" i="18"/>
  <c r="G30" i="18"/>
  <c r="D33" i="18"/>
  <c r="D13" i="18"/>
  <c r="D52" i="18"/>
  <c r="D34" i="18"/>
  <c r="D28" i="18"/>
  <c r="G31" i="18"/>
  <c r="D29" i="18"/>
  <c r="I29" i="18"/>
  <c r="G29" i="18"/>
  <c r="F7" i="18"/>
  <c r="D7" i="18"/>
  <c r="G7" i="18"/>
  <c r="F10" i="18"/>
  <c r="D10" i="18"/>
  <c r="G10" i="18"/>
  <c r="F12" i="18"/>
  <c r="D14" i="18"/>
  <c r="D12" i="18"/>
  <c r="G12" i="18"/>
  <c r="F8" i="18"/>
  <c r="D8" i="18"/>
  <c r="G8" i="18"/>
  <c r="D6" i="18"/>
  <c r="K10" i="18"/>
  <c r="D11" i="18"/>
  <c r="D50" i="18"/>
  <c r="D5" i="18"/>
  <c r="D4" i="18"/>
  <c r="G6" i="18"/>
  <c r="D9" i="18"/>
  <c r="G11" i="18"/>
  <c r="G13" i="18"/>
  <c r="G14" i="18"/>
  <c r="D15" i="18"/>
  <c r="H5" i="18"/>
  <c r="H12" i="18"/>
  <c r="H4" i="18"/>
  <c r="H16" i="18"/>
  <c r="J25" i="18"/>
  <c r="J32" i="18"/>
  <c r="J24" i="18"/>
  <c r="J55" i="18"/>
  <c r="H55" i="18"/>
  <c r="H35" i="18"/>
  <c r="H15" i="18"/>
  <c r="J54" i="18"/>
  <c r="H54" i="18"/>
  <c r="J53" i="18"/>
  <c r="H53" i="18"/>
  <c r="J52" i="18"/>
  <c r="H52" i="18"/>
  <c r="J51" i="18"/>
  <c r="H51" i="18"/>
  <c r="J50" i="18"/>
  <c r="H50" i="18"/>
  <c r="J49" i="18"/>
  <c r="H49" i="18"/>
  <c r="D49" i="18"/>
  <c r="J48" i="18"/>
  <c r="H48" i="18"/>
  <c r="J47" i="18"/>
  <c r="H47" i="18"/>
  <c r="D47" i="18"/>
  <c r="J46" i="18"/>
  <c r="H46" i="18"/>
  <c r="D46" i="18"/>
  <c r="J45" i="18"/>
  <c r="H45" i="18"/>
  <c r="D45" i="18"/>
  <c r="J44" i="18"/>
  <c r="H44" i="18"/>
  <c r="J43" i="18"/>
  <c r="H43" i="18"/>
  <c r="L36" i="18"/>
  <c r="L35" i="18"/>
  <c r="L34" i="18"/>
  <c r="L33" i="18"/>
  <c r="K33" i="18"/>
  <c r="L32" i="18"/>
  <c r="L31" i="18"/>
  <c r="K31" i="18"/>
  <c r="I31" i="18"/>
  <c r="L30" i="18"/>
  <c r="K30" i="18"/>
  <c r="L29" i="18"/>
  <c r="K29" i="18"/>
  <c r="L27" i="18"/>
  <c r="K27" i="18"/>
  <c r="I27" i="18"/>
  <c r="L26" i="18"/>
  <c r="K26" i="18"/>
  <c r="I26" i="18"/>
  <c r="L25" i="18"/>
  <c r="L24" i="18"/>
  <c r="L16" i="18"/>
  <c r="L15" i="18"/>
  <c r="L14" i="18"/>
  <c r="K14" i="18"/>
  <c r="I14" i="18"/>
  <c r="L13" i="18"/>
  <c r="K13" i="18"/>
  <c r="I13" i="18"/>
  <c r="L12" i="18"/>
  <c r="K12" i="18"/>
  <c r="I12" i="18"/>
  <c r="L11" i="18"/>
  <c r="K11" i="18"/>
  <c r="I11" i="18"/>
  <c r="L10" i="18"/>
  <c r="I10" i="18"/>
  <c r="L9" i="18"/>
  <c r="K9" i="18"/>
  <c r="I9" i="18"/>
  <c r="L7" i="18"/>
  <c r="K7" i="18"/>
  <c r="I7" i="18"/>
  <c r="L6" i="18"/>
  <c r="K6" i="18"/>
  <c r="I6" i="18"/>
  <c r="L5" i="18"/>
  <c r="K5" i="18"/>
  <c r="I5" i="18"/>
  <c r="L4" i="18"/>
  <c r="Q28" i="15"/>
  <c r="Q36" i="15"/>
  <c r="Q55" i="15"/>
  <c r="AL36" i="15"/>
  <c r="AB5" i="15"/>
  <c r="AB4" i="15"/>
  <c r="AB16" i="15"/>
  <c r="AL16" i="15"/>
  <c r="Q35" i="15"/>
  <c r="AL35" i="15"/>
  <c r="AL54" i="15"/>
  <c r="AB15" i="15"/>
  <c r="AL15" i="15"/>
  <c r="AL53" i="15"/>
  <c r="AL52" i="15"/>
  <c r="AL51" i="15"/>
  <c r="AL50" i="15"/>
  <c r="AL49" i="15"/>
  <c r="Q29" i="15"/>
  <c r="AL29" i="15"/>
  <c r="AB9" i="15"/>
  <c r="AL9" i="15"/>
  <c r="AL28" i="15"/>
  <c r="AL47" i="15"/>
  <c r="AL7" i="15"/>
  <c r="AL46" i="15"/>
  <c r="AL45" i="15"/>
  <c r="AL5" i="15"/>
  <c r="AL44" i="15"/>
  <c r="AL4" i="15"/>
  <c r="AL43" i="15"/>
  <c r="O28" i="15"/>
  <c r="O29" i="15"/>
  <c r="O48" i="15"/>
  <c r="O36" i="15"/>
  <c r="AJ36" i="15"/>
  <c r="O11" i="15"/>
  <c r="O35" i="15"/>
  <c r="R35" i="15"/>
  <c r="AJ35" i="15"/>
  <c r="AJ53" i="15"/>
  <c r="AJ52" i="15"/>
  <c r="AJ51" i="15"/>
  <c r="AJ49" i="15"/>
  <c r="AJ28" i="15"/>
  <c r="AJ47" i="15"/>
  <c r="AJ46" i="15"/>
  <c r="AJ45" i="15"/>
  <c r="D26" i="15"/>
  <c r="D6" i="15"/>
  <c r="D45" i="15"/>
  <c r="M26" i="15"/>
  <c r="X26" i="15"/>
  <c r="X6" i="15"/>
  <c r="X45" i="15"/>
  <c r="AH26" i="15"/>
  <c r="D27" i="15"/>
  <c r="M27" i="15"/>
  <c r="X27" i="15"/>
  <c r="D30" i="15"/>
  <c r="D10" i="15"/>
  <c r="D49" i="15"/>
  <c r="M30" i="15"/>
  <c r="M10" i="15"/>
  <c r="M49" i="15"/>
  <c r="X30" i="15"/>
  <c r="X10" i="15"/>
  <c r="X49" i="15"/>
  <c r="AH30" i="15"/>
  <c r="D31" i="15"/>
  <c r="M31" i="15"/>
  <c r="X31" i="15"/>
  <c r="D33" i="15"/>
  <c r="M33" i="15"/>
  <c r="T33" i="15"/>
  <c r="X33" i="15"/>
  <c r="X34" i="15"/>
  <c r="X32" i="15"/>
  <c r="D34" i="15"/>
  <c r="M34" i="15"/>
  <c r="AH34" i="15"/>
  <c r="AI34" i="15"/>
  <c r="D28" i="15"/>
  <c r="M28" i="15"/>
  <c r="X28" i="15"/>
  <c r="M6" i="15"/>
  <c r="AC6" i="15"/>
  <c r="AH6" i="15"/>
  <c r="D7" i="15"/>
  <c r="M7" i="15"/>
  <c r="X7" i="15"/>
  <c r="I10" i="15"/>
  <c r="R10" i="15"/>
  <c r="AC10" i="15"/>
  <c r="AH10" i="15"/>
  <c r="D11" i="15"/>
  <c r="M11" i="15"/>
  <c r="X11" i="15"/>
  <c r="D13" i="15"/>
  <c r="D14" i="15"/>
  <c r="D12" i="15"/>
  <c r="M13" i="15"/>
  <c r="P13" i="15"/>
  <c r="X13" i="15"/>
  <c r="AH13" i="15"/>
  <c r="M14" i="15"/>
  <c r="X14" i="15"/>
  <c r="AH14" i="15"/>
  <c r="AI14" i="15"/>
  <c r="D8" i="15"/>
  <c r="M8" i="15"/>
  <c r="T8" i="15"/>
  <c r="X8" i="15"/>
  <c r="X9" i="15"/>
  <c r="AH53" i="15"/>
  <c r="X29" i="15"/>
  <c r="AH45" i="15"/>
  <c r="F25" i="15"/>
  <c r="F32" i="15"/>
  <c r="F24" i="15"/>
  <c r="F36" i="15"/>
  <c r="Q25" i="15"/>
  <c r="Q32" i="15"/>
  <c r="Q24" i="15"/>
  <c r="AB25" i="15"/>
  <c r="AB32" i="15"/>
  <c r="AB24" i="15"/>
  <c r="AB28" i="15"/>
  <c r="AB36" i="15"/>
  <c r="F35" i="15"/>
  <c r="AB35" i="15"/>
  <c r="AL34" i="15"/>
  <c r="AM34" i="15"/>
  <c r="AL33" i="15"/>
  <c r="AL32" i="15"/>
  <c r="AL31" i="15"/>
  <c r="AL30" i="15"/>
  <c r="F29" i="15"/>
  <c r="AB29" i="15"/>
  <c r="AL27" i="15"/>
  <c r="AL26" i="15"/>
  <c r="AL25" i="15"/>
  <c r="AL24" i="15"/>
  <c r="O25" i="15"/>
  <c r="O32" i="15"/>
  <c r="O24" i="15"/>
  <c r="AJ34" i="15"/>
  <c r="AK34" i="15"/>
  <c r="AJ33" i="15"/>
  <c r="AJ32" i="15"/>
  <c r="AJ31" i="15"/>
  <c r="AJ30" i="15"/>
  <c r="AK30" i="15"/>
  <c r="AJ27" i="15"/>
  <c r="AJ26" i="15"/>
  <c r="AJ25" i="15"/>
  <c r="AJ24" i="15"/>
  <c r="AP34" i="15"/>
  <c r="AP33" i="15"/>
  <c r="AP32" i="15"/>
  <c r="AP31" i="15"/>
  <c r="AP30" i="15"/>
  <c r="AP28" i="15"/>
  <c r="AP27" i="15"/>
  <c r="AP26" i="15"/>
  <c r="AP25" i="15"/>
  <c r="AL6" i="15"/>
  <c r="AL10" i="15"/>
  <c r="AL11" i="15"/>
  <c r="AM6" i="15"/>
  <c r="F9" i="15"/>
  <c r="Q9" i="15"/>
  <c r="AL13" i="15"/>
  <c r="AL14" i="15"/>
  <c r="AL12" i="15"/>
  <c r="AM14" i="15"/>
  <c r="F5" i="15"/>
  <c r="F15" i="15"/>
  <c r="Q5" i="15"/>
  <c r="Q15" i="15"/>
  <c r="F12" i="15"/>
  <c r="F4" i="15"/>
  <c r="F16" i="15"/>
  <c r="Q12" i="15"/>
  <c r="Q4" i="15"/>
  <c r="Q16" i="15"/>
  <c r="AB12" i="15"/>
  <c r="AL8" i="15"/>
  <c r="AJ14" i="15"/>
  <c r="O12" i="15"/>
  <c r="AJ13" i="15"/>
  <c r="AJ12" i="15"/>
  <c r="AJ6" i="15"/>
  <c r="AJ7" i="15"/>
  <c r="AJ10" i="15"/>
  <c r="AJ8" i="15"/>
  <c r="O9" i="15"/>
  <c r="AJ9" i="15"/>
  <c r="X25" i="15"/>
  <c r="AA25" i="15"/>
  <c r="AA34" i="15"/>
  <c r="AA31" i="15"/>
  <c r="AA27" i="15"/>
  <c r="X5" i="15"/>
  <c r="AA5" i="15"/>
  <c r="AA7" i="15"/>
  <c r="AA11" i="15"/>
  <c r="AA13" i="15"/>
  <c r="AA14" i="15"/>
  <c r="M5" i="15"/>
  <c r="T6" i="15"/>
  <c r="T7" i="15"/>
  <c r="T10" i="15"/>
  <c r="T11" i="15"/>
  <c r="T13" i="15"/>
  <c r="T14" i="15"/>
  <c r="R6" i="15"/>
  <c r="R7" i="15"/>
  <c r="AC7" i="15"/>
  <c r="R11" i="15"/>
  <c r="AC11" i="15"/>
  <c r="I13" i="15"/>
  <c r="R13" i="15"/>
  <c r="I14" i="15"/>
  <c r="R14" i="15"/>
  <c r="AC14" i="15"/>
  <c r="S9" i="15"/>
  <c r="H9" i="15"/>
  <c r="AP14" i="15"/>
  <c r="AK14" i="15"/>
  <c r="AP13" i="15"/>
  <c r="AP12" i="15"/>
  <c r="AP10" i="15"/>
  <c r="AK10" i="15"/>
  <c r="AP9" i="15"/>
  <c r="AP7" i="15"/>
  <c r="AP6" i="15"/>
  <c r="AB55" i="15"/>
  <c r="AB54" i="15"/>
  <c r="AB53" i="15"/>
  <c r="AB52" i="15"/>
  <c r="AB51" i="15"/>
  <c r="AB50" i="15"/>
  <c r="AB49" i="15"/>
  <c r="AB48" i="15"/>
  <c r="AB47" i="15"/>
  <c r="AB46" i="15"/>
  <c r="AB45" i="15"/>
  <c r="AB44" i="15"/>
  <c r="AB43" i="15"/>
  <c r="X53" i="15"/>
  <c r="X50" i="15"/>
  <c r="X47" i="15"/>
  <c r="X46" i="15"/>
  <c r="AF36" i="15"/>
  <c r="AF35" i="15"/>
  <c r="AF34" i="15"/>
  <c r="AF33" i="15"/>
  <c r="AF32" i="15"/>
  <c r="AF31" i="15"/>
  <c r="AF30" i="15"/>
  <c r="AF29" i="15"/>
  <c r="AF27" i="15"/>
  <c r="AF26" i="15"/>
  <c r="AF25" i="15"/>
  <c r="AF24" i="15"/>
  <c r="AF4" i="15"/>
  <c r="AF16" i="15"/>
  <c r="AF15" i="15"/>
  <c r="AF14" i="15"/>
  <c r="AF13" i="15"/>
  <c r="AF12" i="15"/>
  <c r="AF11" i="15"/>
  <c r="AF10" i="15"/>
  <c r="AF9" i="15"/>
  <c r="AF7" i="15"/>
  <c r="AF6" i="15"/>
  <c r="AF5" i="15"/>
  <c r="S5" i="15"/>
  <c r="S12" i="15"/>
  <c r="S4" i="15"/>
  <c r="S16" i="15"/>
  <c r="S15" i="15"/>
  <c r="S25" i="15"/>
  <c r="S32" i="15"/>
  <c r="S24" i="15"/>
  <c r="S36" i="15"/>
  <c r="S55" i="15"/>
  <c r="S35" i="15"/>
  <c r="S54" i="15"/>
  <c r="S53" i="15"/>
  <c r="S52" i="15"/>
  <c r="S51" i="15"/>
  <c r="S50" i="15"/>
  <c r="S49" i="15"/>
  <c r="S29" i="15"/>
  <c r="S48" i="15"/>
  <c r="S47" i="15"/>
  <c r="S46" i="15"/>
  <c r="S45" i="15"/>
  <c r="S44" i="15"/>
  <c r="S43" i="15"/>
  <c r="Q54" i="15"/>
  <c r="Q53" i="15"/>
  <c r="Q52" i="15"/>
  <c r="Q51" i="15"/>
  <c r="Q50" i="15"/>
  <c r="Q49" i="15"/>
  <c r="Q47" i="15"/>
  <c r="Q46" i="15"/>
  <c r="Q45" i="15"/>
  <c r="Q44" i="15"/>
  <c r="Q43" i="15"/>
  <c r="O53" i="15"/>
  <c r="O52" i="15"/>
  <c r="O51" i="15"/>
  <c r="O49" i="15"/>
  <c r="O46" i="15"/>
  <c r="O45" i="15"/>
  <c r="M25" i="15"/>
  <c r="T25" i="15"/>
  <c r="M32" i="15"/>
  <c r="M24" i="15"/>
  <c r="M53" i="15"/>
  <c r="M52" i="15"/>
  <c r="M50" i="15"/>
  <c r="M46" i="15"/>
  <c r="M45" i="15"/>
  <c r="M44" i="15"/>
  <c r="H25" i="15"/>
  <c r="H32" i="15"/>
  <c r="H24" i="15"/>
  <c r="H36" i="15"/>
  <c r="H5" i="15"/>
  <c r="H12" i="15"/>
  <c r="H4" i="15"/>
  <c r="H16" i="15"/>
  <c r="H55" i="15"/>
  <c r="H35" i="15"/>
  <c r="H15" i="15"/>
  <c r="H54" i="15"/>
  <c r="H53" i="15"/>
  <c r="H52" i="15"/>
  <c r="H51" i="15"/>
  <c r="H50" i="15"/>
  <c r="H49" i="15"/>
  <c r="H29" i="15"/>
  <c r="H48" i="15"/>
  <c r="H47" i="15"/>
  <c r="H46" i="15"/>
  <c r="H45" i="15"/>
  <c r="H44" i="15"/>
  <c r="H43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D25" i="15"/>
  <c r="D32" i="15"/>
  <c r="D46" i="15"/>
  <c r="D47" i="15"/>
  <c r="D52" i="15"/>
  <c r="D53" i="15"/>
  <c r="J36" i="15"/>
  <c r="J35" i="15"/>
  <c r="J34" i="15"/>
  <c r="J33" i="15"/>
  <c r="J32" i="15"/>
  <c r="J31" i="15"/>
  <c r="J30" i="15"/>
  <c r="J29" i="15"/>
  <c r="J27" i="15"/>
  <c r="J26" i="15"/>
  <c r="J25" i="15"/>
  <c r="J24" i="15"/>
  <c r="U35" i="15"/>
  <c r="U34" i="15"/>
  <c r="T34" i="15"/>
  <c r="U33" i="15"/>
  <c r="U32" i="15"/>
  <c r="U31" i="15"/>
  <c r="T31" i="15"/>
  <c r="U30" i="15"/>
  <c r="T30" i="15"/>
  <c r="U27" i="15"/>
  <c r="T27" i="15"/>
  <c r="U26" i="15"/>
  <c r="T26" i="15"/>
  <c r="U25" i="15"/>
  <c r="U24" i="15"/>
  <c r="I34" i="15"/>
  <c r="I33" i="15"/>
  <c r="I26" i="15"/>
  <c r="AG42" i="13"/>
  <c r="AG6" i="13"/>
  <c r="AG78" i="13"/>
  <c r="AG44" i="13"/>
  <c r="AG8" i="13"/>
  <c r="AG80" i="13"/>
  <c r="Z80" i="13"/>
  <c r="H45" i="13"/>
  <c r="Q45" i="13"/>
  <c r="Z45" i="13"/>
  <c r="AG45" i="13"/>
  <c r="H9" i="13"/>
  <c r="Q9" i="13"/>
  <c r="Z9" i="13"/>
  <c r="AG9" i="13"/>
  <c r="AG81" i="13"/>
  <c r="H60" i="13"/>
  <c r="H61" i="13"/>
  <c r="H64" i="13"/>
  <c r="H65" i="13"/>
  <c r="H59" i="13"/>
  <c r="H67" i="13"/>
  <c r="H68" i="13"/>
  <c r="H66" i="13"/>
  <c r="H58" i="13"/>
  <c r="H62" i="13"/>
  <c r="H63" i="13"/>
  <c r="H41" i="13"/>
  <c r="H48" i="13"/>
  <c r="H40" i="13"/>
  <c r="I40" i="13"/>
  <c r="H24" i="13"/>
  <c r="H25" i="13"/>
  <c r="H28" i="13"/>
  <c r="H29" i="13"/>
  <c r="H23" i="13"/>
  <c r="H31" i="13"/>
  <c r="H32" i="13"/>
  <c r="H30" i="13"/>
  <c r="H22" i="13"/>
  <c r="H26" i="13"/>
  <c r="H27" i="13"/>
  <c r="AC9" i="13"/>
  <c r="AH9" i="13"/>
  <c r="U16" i="15"/>
  <c r="U15" i="15"/>
  <c r="U14" i="15"/>
  <c r="U13" i="15"/>
  <c r="U12" i="15"/>
  <c r="U11" i="15"/>
  <c r="U10" i="15"/>
  <c r="U9" i="15"/>
  <c r="U7" i="15"/>
  <c r="U6" i="15"/>
  <c r="U5" i="15"/>
  <c r="U4" i="15"/>
  <c r="T5" i="15"/>
  <c r="J16" i="15"/>
  <c r="J15" i="15"/>
  <c r="J14" i="15"/>
  <c r="J13" i="15"/>
  <c r="J12" i="15"/>
  <c r="J11" i="15"/>
  <c r="J10" i="15"/>
  <c r="J9" i="15"/>
  <c r="J7" i="15"/>
  <c r="J6" i="15"/>
  <c r="J5" i="15"/>
  <c r="J4" i="15"/>
  <c r="Y36" i="15"/>
  <c r="Y35" i="15"/>
  <c r="AC34" i="15"/>
  <c r="Y34" i="15"/>
  <c r="Y33" i="15"/>
  <c r="Y32" i="15"/>
  <c r="AC31" i="15"/>
  <c r="Y31" i="15"/>
  <c r="Y30" i="15"/>
  <c r="Y29" i="15"/>
  <c r="Y28" i="15"/>
  <c r="AC27" i="15"/>
  <c r="Y27" i="15"/>
  <c r="AC26" i="15"/>
  <c r="Y26" i="15"/>
  <c r="Y25" i="15"/>
  <c r="Y24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R36" i="15"/>
  <c r="R34" i="15"/>
  <c r="R33" i="15"/>
  <c r="R32" i="15"/>
  <c r="R31" i="15"/>
  <c r="R30" i="15"/>
  <c r="R27" i="15"/>
  <c r="R26" i="15"/>
  <c r="R25" i="15"/>
  <c r="R24" i="15"/>
  <c r="N36" i="15"/>
  <c r="E36" i="15"/>
  <c r="N35" i="15"/>
  <c r="E35" i="15"/>
  <c r="N34" i="15"/>
  <c r="P34" i="15"/>
  <c r="E34" i="15"/>
  <c r="N33" i="15"/>
  <c r="E33" i="15"/>
  <c r="G33" i="15"/>
  <c r="N32" i="15"/>
  <c r="E32" i="15"/>
  <c r="N31" i="15"/>
  <c r="E31" i="15"/>
  <c r="N30" i="15"/>
  <c r="E30" i="15"/>
  <c r="G30" i="15"/>
  <c r="N29" i="15"/>
  <c r="E29" i="15"/>
  <c r="N28" i="15"/>
  <c r="E28" i="15"/>
  <c r="N27" i="15"/>
  <c r="E27" i="15"/>
  <c r="N26" i="15"/>
  <c r="E26" i="15"/>
  <c r="N25" i="15"/>
  <c r="E25" i="15"/>
  <c r="N24" i="15"/>
  <c r="E24" i="15"/>
  <c r="N16" i="15"/>
  <c r="E16" i="15"/>
  <c r="N15" i="15"/>
  <c r="E15" i="15"/>
  <c r="N14" i="15"/>
  <c r="P14" i="15"/>
  <c r="E14" i="15"/>
  <c r="G14" i="15"/>
  <c r="N13" i="15"/>
  <c r="E13" i="15"/>
  <c r="N12" i="15"/>
  <c r="E12" i="15"/>
  <c r="N11" i="15"/>
  <c r="E11" i="15"/>
  <c r="N10" i="15"/>
  <c r="E10" i="15"/>
  <c r="N9" i="15"/>
  <c r="E9" i="15"/>
  <c r="N8" i="15"/>
  <c r="E8" i="15"/>
  <c r="N7" i="15"/>
  <c r="E7" i="15"/>
  <c r="N6" i="15"/>
  <c r="E6" i="15"/>
  <c r="N5" i="15"/>
  <c r="E5" i="15"/>
  <c r="N4" i="15"/>
  <c r="E4" i="15"/>
  <c r="Z5" i="13"/>
  <c r="Z12" i="13"/>
  <c r="Z4" i="13"/>
  <c r="Y7" i="13"/>
  <c r="V83" i="13"/>
  <c r="V84" i="13"/>
  <c r="H103" i="13"/>
  <c r="H102" i="13"/>
  <c r="H101" i="13"/>
  <c r="H100" i="13"/>
  <c r="H99" i="13"/>
  <c r="H98" i="13"/>
  <c r="H97" i="13"/>
  <c r="H95" i="13"/>
  <c r="F67" i="13"/>
  <c r="F31" i="13"/>
  <c r="F102" i="13"/>
  <c r="F63" i="13"/>
  <c r="F9" i="13"/>
  <c r="O9" i="13"/>
  <c r="F27" i="13"/>
  <c r="F98" i="13"/>
  <c r="F44" i="13"/>
  <c r="O44" i="13"/>
  <c r="F62" i="13"/>
  <c r="F26" i="13"/>
  <c r="F97" i="13"/>
  <c r="F43" i="13"/>
  <c r="O43" i="13"/>
  <c r="F61" i="13"/>
  <c r="F25" i="13"/>
  <c r="F96" i="13"/>
  <c r="F42" i="13"/>
  <c r="F60" i="13"/>
  <c r="F24" i="13"/>
  <c r="F95" i="13"/>
  <c r="AE45" i="13"/>
  <c r="X9" i="13"/>
  <c r="AE9" i="13"/>
  <c r="AE81" i="13"/>
  <c r="X44" i="13"/>
  <c r="AE44" i="13"/>
  <c r="AE8" i="13"/>
  <c r="AE80" i="13"/>
  <c r="X43" i="13"/>
  <c r="AE43" i="13"/>
  <c r="AE7" i="13"/>
  <c r="AE79" i="13"/>
  <c r="AE42" i="13"/>
  <c r="AE6" i="13"/>
  <c r="AE78" i="13"/>
  <c r="AG46" i="13"/>
  <c r="AE46" i="13"/>
  <c r="AI46" i="13"/>
  <c r="AI45" i="13"/>
  <c r="AG43" i="13"/>
  <c r="AI43" i="13"/>
  <c r="AI42" i="13"/>
  <c r="Z41" i="13"/>
  <c r="Z51" i="13"/>
  <c r="X41" i="13"/>
  <c r="X51" i="13"/>
  <c r="AB51" i="13"/>
  <c r="AB50" i="13"/>
  <c r="AB49" i="13"/>
  <c r="AB47" i="13"/>
  <c r="AB46" i="13"/>
  <c r="AB45" i="13"/>
  <c r="AB43" i="13"/>
  <c r="AB42" i="13"/>
  <c r="AB41" i="13"/>
  <c r="Z86" i="13"/>
  <c r="Z85" i="13"/>
  <c r="Z83" i="13"/>
  <c r="Z82" i="13"/>
  <c r="Z78" i="13"/>
  <c r="X86" i="13"/>
  <c r="X85" i="13"/>
  <c r="X83" i="13"/>
  <c r="X82" i="13"/>
  <c r="X81" i="13"/>
  <c r="X80" i="13"/>
  <c r="X79" i="13"/>
  <c r="X78" i="13"/>
  <c r="V86" i="13"/>
  <c r="V85" i="13"/>
  <c r="V82" i="13"/>
  <c r="V81" i="13"/>
  <c r="V80" i="13"/>
  <c r="V78" i="13"/>
  <c r="Q41" i="13"/>
  <c r="Q48" i="13"/>
  <c r="Q40" i="13"/>
  <c r="Q52" i="13"/>
  <c r="Q5" i="13"/>
  <c r="Q12" i="13"/>
  <c r="Q4" i="13"/>
  <c r="Q16" i="13"/>
  <c r="Q88" i="13"/>
  <c r="Q51" i="13"/>
  <c r="Q15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O86" i="13"/>
  <c r="O85" i="13"/>
  <c r="O83" i="13"/>
  <c r="O82" i="13"/>
  <c r="O81" i="13"/>
  <c r="O80" i="13"/>
  <c r="O79" i="13"/>
  <c r="O78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H52" i="13"/>
  <c r="H12" i="13"/>
  <c r="H51" i="13"/>
  <c r="H86" i="13"/>
  <c r="H85" i="13"/>
  <c r="H84" i="13"/>
  <c r="H83" i="13"/>
  <c r="H82" i="13"/>
  <c r="H78" i="13"/>
  <c r="F86" i="13"/>
  <c r="F85" i="13"/>
  <c r="F82" i="13"/>
  <c r="F81" i="13"/>
  <c r="F80" i="13"/>
  <c r="F79" i="13"/>
  <c r="AE50" i="13"/>
  <c r="AE49" i="13"/>
  <c r="AE13" i="13"/>
  <c r="AE85" i="13"/>
  <c r="X48" i="13"/>
  <c r="Y48" i="13"/>
  <c r="Y50" i="13"/>
  <c r="Y49" i="13"/>
  <c r="Y47" i="13"/>
  <c r="Y46" i="13"/>
  <c r="Y45" i="13"/>
  <c r="Y44" i="13"/>
  <c r="Y42" i="13"/>
  <c r="R45" i="13"/>
  <c r="F68" i="13"/>
  <c r="J68" i="13"/>
  <c r="F64" i="13"/>
  <c r="J64" i="13"/>
  <c r="J63" i="13"/>
  <c r="P46" i="13"/>
  <c r="S43" i="13"/>
  <c r="S50" i="13"/>
  <c r="S49" i="13"/>
  <c r="S47" i="13"/>
  <c r="P47" i="13"/>
  <c r="P50" i="13"/>
  <c r="P49" i="13"/>
  <c r="O48" i="13"/>
  <c r="P48" i="13"/>
  <c r="D80" i="13"/>
  <c r="D81" i="13"/>
  <c r="D82" i="13"/>
  <c r="D83" i="13"/>
  <c r="D84" i="13"/>
  <c r="D85" i="13"/>
  <c r="D86" i="13"/>
  <c r="D87" i="13"/>
  <c r="D88" i="13"/>
  <c r="F47" i="13"/>
  <c r="G47" i="13"/>
  <c r="J46" i="13"/>
  <c r="J45" i="13"/>
  <c r="F48" i="13"/>
  <c r="J48" i="13"/>
  <c r="J49" i="13"/>
  <c r="J50" i="13"/>
  <c r="I45" i="13"/>
  <c r="G50" i="13"/>
  <c r="G49" i="13"/>
  <c r="G48" i="13"/>
  <c r="G45" i="13"/>
  <c r="G44" i="13"/>
  <c r="AE14" i="13"/>
  <c r="AE10" i="13"/>
  <c r="AE82" i="13"/>
  <c r="AE11" i="13"/>
  <c r="G8" i="13"/>
  <c r="AG49" i="13"/>
  <c r="R49" i="13"/>
  <c r="F32" i="13"/>
  <c r="F103" i="13"/>
  <c r="F29" i="13"/>
  <c r="AB14" i="13"/>
  <c r="Y14" i="13"/>
  <c r="S14" i="13"/>
  <c r="P14" i="13"/>
  <c r="AG13" i="13"/>
  <c r="AI13" i="13"/>
  <c r="AB13" i="13"/>
  <c r="AA13" i="13"/>
  <c r="S13" i="13"/>
  <c r="R13" i="13"/>
  <c r="J13" i="13"/>
  <c r="X12" i="13"/>
  <c r="O12" i="13"/>
  <c r="F12" i="13"/>
  <c r="F84" i="13"/>
  <c r="AB11" i="13"/>
  <c r="Y11" i="13"/>
  <c r="S11" i="13"/>
  <c r="P11" i="13"/>
  <c r="AB10" i="13"/>
  <c r="Y10" i="13"/>
  <c r="Y6" i="13"/>
  <c r="X5" i="13"/>
  <c r="X15" i="13"/>
  <c r="X87" i="13"/>
  <c r="X77" i="13"/>
  <c r="F65" i="13"/>
  <c r="F83" i="13"/>
  <c r="AE47" i="13"/>
  <c r="J47" i="13"/>
  <c r="O84" i="13"/>
  <c r="F66" i="13"/>
  <c r="J66" i="13"/>
  <c r="AG50" i="13"/>
  <c r="AI50" i="13"/>
  <c r="AI49" i="13"/>
  <c r="AE86" i="13"/>
  <c r="X84" i="13"/>
  <c r="V87" i="13"/>
  <c r="V77" i="13"/>
  <c r="V79" i="13"/>
  <c r="AE41" i="13"/>
  <c r="F78" i="13"/>
  <c r="AE48" i="13"/>
  <c r="Y43" i="13"/>
  <c r="Y41" i="13"/>
  <c r="Y51" i="13"/>
  <c r="X40" i="13"/>
  <c r="J67" i="13"/>
  <c r="S48" i="13"/>
  <c r="J42" i="13"/>
  <c r="S42" i="13"/>
  <c r="S46" i="13"/>
  <c r="S45" i="13"/>
  <c r="P42" i="13"/>
  <c r="P45" i="13"/>
  <c r="O41" i="13"/>
  <c r="S41" i="13"/>
  <c r="P43" i="13"/>
  <c r="P44" i="13"/>
  <c r="G46" i="13"/>
  <c r="G42" i="13"/>
  <c r="S9" i="13"/>
  <c r="I50" i="13"/>
  <c r="Y9" i="13"/>
  <c r="AC46" i="13"/>
  <c r="AF46" i="13"/>
  <c r="AC14" i="13"/>
  <c r="AB12" i="13"/>
  <c r="AC8" i="13"/>
  <c r="D26" i="13"/>
  <c r="R9" i="13"/>
  <c r="P8" i="13"/>
  <c r="G9" i="13"/>
  <c r="AA47" i="13"/>
  <c r="P12" i="13"/>
  <c r="I42" i="13"/>
  <c r="AG10" i="13"/>
  <c r="AI10" i="13"/>
  <c r="F30" i="13"/>
  <c r="AA42" i="13"/>
  <c r="AC11" i="13"/>
  <c r="R42" i="13"/>
  <c r="AC47" i="13"/>
  <c r="AF47" i="13"/>
  <c r="AC10" i="13"/>
  <c r="S12" i="13"/>
  <c r="I43" i="13"/>
  <c r="AA43" i="13"/>
  <c r="X4" i="13"/>
  <c r="X16" i="13"/>
  <c r="D25" i="13"/>
  <c r="J31" i="13"/>
  <c r="AA7" i="13"/>
  <c r="G64" i="13"/>
  <c r="S10" i="13"/>
  <c r="G10" i="13"/>
  <c r="G14" i="13"/>
  <c r="R43" i="13"/>
  <c r="D24" i="13"/>
  <c r="I10" i="13"/>
  <c r="J12" i="13"/>
  <c r="AE12" i="13"/>
  <c r="AA46" i="13"/>
  <c r="Z48" i="13"/>
  <c r="Z84" i="13"/>
  <c r="G11" i="13"/>
  <c r="J10" i="13"/>
  <c r="R7" i="13"/>
  <c r="I67" i="13"/>
  <c r="G65" i="13"/>
  <c r="P6" i="13"/>
  <c r="F28" i="13"/>
  <c r="F99" i="13"/>
  <c r="P10" i="13"/>
  <c r="D79" i="13"/>
  <c r="AA6" i="13"/>
  <c r="S6" i="13"/>
  <c r="AB6" i="13"/>
  <c r="AC13" i="13"/>
  <c r="I13" i="13"/>
  <c r="G13" i="13"/>
  <c r="D31" i="13"/>
  <c r="R46" i="13"/>
  <c r="R47" i="13"/>
  <c r="R48" i="13"/>
  <c r="J11" i="13"/>
  <c r="I11" i="13"/>
  <c r="AG11" i="13"/>
  <c r="AG47" i="13"/>
  <c r="AG83" i="13"/>
  <c r="AC6" i="13"/>
  <c r="R50" i="13"/>
  <c r="AA49" i="13"/>
  <c r="I6" i="13"/>
  <c r="R10" i="13"/>
  <c r="AA10" i="13"/>
  <c r="R6" i="13"/>
  <c r="J6" i="13"/>
  <c r="AC7" i="13"/>
  <c r="D28" i="13"/>
  <c r="D78" i="13"/>
  <c r="I62" i="13"/>
  <c r="AC50" i="13"/>
  <c r="AF50" i="13"/>
  <c r="AC42" i="13"/>
  <c r="AF42" i="13"/>
  <c r="AC43" i="13"/>
  <c r="AF43" i="13"/>
  <c r="AC44" i="13"/>
  <c r="AF44" i="13"/>
  <c r="Y13" i="13"/>
  <c r="AG14" i="13"/>
  <c r="D29" i="13"/>
  <c r="D32" i="13"/>
  <c r="I49" i="13"/>
  <c r="R11" i="13"/>
  <c r="AA11" i="13"/>
  <c r="P13" i="13"/>
  <c r="I14" i="13"/>
  <c r="R14" i="13"/>
  <c r="AA14" i="13"/>
  <c r="I46" i="13"/>
  <c r="I47" i="13"/>
  <c r="G68" i="13"/>
  <c r="J14" i="13"/>
  <c r="AA50" i="13"/>
  <c r="AC49" i="13"/>
  <c r="AF49" i="13"/>
  <c r="AE83" i="13"/>
  <c r="AI47" i="13"/>
  <c r="AE51" i="13"/>
  <c r="AG41" i="13"/>
  <c r="AI41" i="13"/>
  <c r="J65" i="13"/>
  <c r="F100" i="13"/>
  <c r="F101" i="13"/>
  <c r="AB48" i="13"/>
  <c r="AG48" i="13"/>
  <c r="AG86" i="13"/>
  <c r="Z40" i="13"/>
  <c r="AB40" i="13"/>
  <c r="X76" i="13"/>
  <c r="AE84" i="13"/>
  <c r="AC85" i="13"/>
  <c r="D95" i="13"/>
  <c r="D99" i="13"/>
  <c r="AC78" i="13"/>
  <c r="AC82" i="13"/>
  <c r="G67" i="13"/>
  <c r="AC79" i="13"/>
  <c r="D96" i="13"/>
  <c r="D102" i="13"/>
  <c r="AC80" i="13"/>
  <c r="G62" i="13"/>
  <c r="G60" i="13"/>
  <c r="V88" i="13"/>
  <c r="V76" i="13"/>
  <c r="G26" i="13"/>
  <c r="D97" i="13"/>
  <c r="AF11" i="13"/>
  <c r="AC83" i="13"/>
  <c r="G32" i="13"/>
  <c r="D103" i="13"/>
  <c r="G29" i="13"/>
  <c r="D100" i="13"/>
  <c r="AF14" i="13"/>
  <c r="AC86" i="13"/>
  <c r="J60" i="13"/>
  <c r="AE40" i="13"/>
  <c r="X52" i="13"/>
  <c r="Y40" i="13"/>
  <c r="F59" i="13"/>
  <c r="F41" i="13"/>
  <c r="O40" i="13"/>
  <c r="O51" i="13"/>
  <c r="P41" i="13"/>
  <c r="G43" i="13"/>
  <c r="J43" i="13"/>
  <c r="I64" i="13"/>
  <c r="AA12" i="13"/>
  <c r="R15" i="13"/>
  <c r="P7" i="13"/>
  <c r="P9" i="13"/>
  <c r="AC12" i="13"/>
  <c r="Y12" i="13"/>
  <c r="D27" i="13"/>
  <c r="J30" i="13"/>
  <c r="R41" i="13"/>
  <c r="I24" i="13"/>
  <c r="S7" i="13"/>
  <c r="J32" i="13"/>
  <c r="R5" i="13"/>
  <c r="I12" i="13"/>
  <c r="O5" i="13"/>
  <c r="G25" i="13"/>
  <c r="G66" i="13"/>
  <c r="R12" i="13"/>
  <c r="AF10" i="13"/>
  <c r="I68" i="13"/>
  <c r="G7" i="13"/>
  <c r="D23" i="13"/>
  <c r="AA48" i="13"/>
  <c r="Y5" i="13"/>
  <c r="I65" i="13"/>
  <c r="Y16" i="13"/>
  <c r="AA41" i="13"/>
  <c r="AH50" i="13"/>
  <c r="AC5" i="13"/>
  <c r="G28" i="13"/>
  <c r="I61" i="13"/>
  <c r="AH42" i="13"/>
  <c r="J29" i="13"/>
  <c r="I29" i="13"/>
  <c r="I60" i="13"/>
  <c r="AH43" i="13"/>
  <c r="I48" i="13"/>
  <c r="AC48" i="13"/>
  <c r="AF48" i="13"/>
  <c r="AH46" i="13"/>
  <c r="AI6" i="13"/>
  <c r="G6" i="13"/>
  <c r="F5" i="13"/>
  <c r="G31" i="13"/>
  <c r="D30" i="13"/>
  <c r="I31" i="13"/>
  <c r="AF13" i="13"/>
  <c r="I28" i="13"/>
  <c r="J28" i="13"/>
  <c r="AH47" i="13"/>
  <c r="I32" i="13"/>
  <c r="I41" i="13"/>
  <c r="AA51" i="13"/>
  <c r="AG12" i="13"/>
  <c r="AG84" i="13"/>
  <c r="AI14" i="13"/>
  <c r="AH14" i="13"/>
  <c r="D77" i="13"/>
  <c r="AH11" i="13"/>
  <c r="AC41" i="13"/>
  <c r="AF41" i="13"/>
  <c r="AH49" i="13"/>
  <c r="AC45" i="13"/>
  <c r="AF45" i="13"/>
  <c r="G12" i="13"/>
  <c r="S5" i="13"/>
  <c r="O77" i="13"/>
  <c r="F77" i="13"/>
  <c r="F58" i="13"/>
  <c r="AG51" i="13"/>
  <c r="AI51" i="13"/>
  <c r="Z52" i="13"/>
  <c r="AI48" i="13"/>
  <c r="S40" i="13"/>
  <c r="Y52" i="13"/>
  <c r="X88" i="13"/>
  <c r="AC77" i="13"/>
  <c r="D101" i="13"/>
  <c r="I63" i="13"/>
  <c r="G63" i="13"/>
  <c r="AC81" i="13"/>
  <c r="D98" i="13"/>
  <c r="D33" i="13"/>
  <c r="D104" i="13"/>
  <c r="D94" i="13"/>
  <c r="AF12" i="13"/>
  <c r="AC84" i="13"/>
  <c r="G41" i="13"/>
  <c r="AE52" i="13"/>
  <c r="F40" i="13"/>
  <c r="F51" i="13"/>
  <c r="J41" i="13"/>
  <c r="J61" i="13"/>
  <c r="G61" i="13"/>
  <c r="P51" i="13"/>
  <c r="S51" i="13"/>
  <c r="O52" i="13"/>
  <c r="P40" i="13"/>
  <c r="R51" i="13"/>
  <c r="R16" i="13"/>
  <c r="I66" i="13"/>
  <c r="AC4" i="13"/>
  <c r="AC15" i="13"/>
  <c r="Y15" i="13"/>
  <c r="O4" i="13"/>
  <c r="O16" i="13"/>
  <c r="O15" i="13"/>
  <c r="O87" i="13"/>
  <c r="P5" i="13"/>
  <c r="F15" i="13"/>
  <c r="R4" i="13"/>
  <c r="AH48" i="13"/>
  <c r="AF7" i="13"/>
  <c r="Y4" i="13"/>
  <c r="G30" i="13"/>
  <c r="I30" i="13"/>
  <c r="AH41" i="13"/>
  <c r="AG40" i="13"/>
  <c r="AI40" i="13"/>
  <c r="R52" i="13"/>
  <c r="D76" i="13"/>
  <c r="H69" i="13"/>
  <c r="I59" i="13"/>
  <c r="D22" i="13"/>
  <c r="F4" i="13"/>
  <c r="G5" i="13"/>
  <c r="J27" i="13"/>
  <c r="G27" i="13"/>
  <c r="AC40" i="13"/>
  <c r="AF40" i="13"/>
  <c r="AC51" i="13"/>
  <c r="AF51" i="13"/>
  <c r="R40" i="13"/>
  <c r="G24" i="13"/>
  <c r="F23" i="13"/>
  <c r="F94" i="13"/>
  <c r="J24" i="13"/>
  <c r="AH45" i="13"/>
  <c r="I51" i="13"/>
  <c r="AA40" i="13"/>
  <c r="AF6" i="13"/>
  <c r="AE5" i="13"/>
  <c r="AE77" i="13"/>
  <c r="O88" i="13"/>
  <c r="O76" i="13"/>
  <c r="F87" i="13"/>
  <c r="F76" i="13"/>
  <c r="AB52" i="13"/>
  <c r="AC16" i="13"/>
  <c r="AC76" i="13"/>
  <c r="AC87" i="13"/>
  <c r="D34" i="13"/>
  <c r="D105" i="13"/>
  <c r="D93" i="13"/>
  <c r="I69" i="13"/>
  <c r="J51" i="13"/>
  <c r="G40" i="13"/>
  <c r="F52" i="13"/>
  <c r="F16" i="13"/>
  <c r="F88" i="13"/>
  <c r="J40" i="13"/>
  <c r="G51" i="13"/>
  <c r="J59" i="13"/>
  <c r="F69" i="13"/>
  <c r="G59" i="13"/>
  <c r="P52" i="13"/>
  <c r="S52" i="13"/>
  <c r="P4" i="13"/>
  <c r="S4" i="13"/>
  <c r="S15" i="13"/>
  <c r="P15" i="13"/>
  <c r="S16" i="13"/>
  <c r="P16" i="13"/>
  <c r="AE15" i="13"/>
  <c r="AE87" i="13"/>
  <c r="G15" i="13"/>
  <c r="AE4" i="13"/>
  <c r="AE76" i="13"/>
  <c r="AF5" i="13"/>
  <c r="G4" i="13"/>
  <c r="AC52" i="13"/>
  <c r="AF52" i="13"/>
  <c r="F33" i="13"/>
  <c r="G23" i="13"/>
  <c r="F22" i="13"/>
  <c r="F93" i="13"/>
  <c r="AH51" i="13"/>
  <c r="I52" i="13"/>
  <c r="I58" i="13"/>
  <c r="H70" i="13"/>
  <c r="AG52" i="13"/>
  <c r="AI52" i="13"/>
  <c r="AH40" i="13"/>
  <c r="AA52" i="13"/>
  <c r="F104" i="13"/>
  <c r="AC88" i="13"/>
  <c r="I70" i="13"/>
  <c r="J52" i="13"/>
  <c r="G52" i="13"/>
  <c r="J69" i="13"/>
  <c r="G69" i="13"/>
  <c r="F70" i="13"/>
  <c r="G58" i="13"/>
  <c r="J58" i="13"/>
  <c r="G16" i="13"/>
  <c r="AE16" i="13"/>
  <c r="AE88" i="13"/>
  <c r="AF15" i="13"/>
  <c r="G33" i="13"/>
  <c r="AH52" i="13"/>
  <c r="AF4" i="13"/>
  <c r="F34" i="13"/>
  <c r="G22" i="13"/>
  <c r="F105" i="13"/>
  <c r="J70" i="13"/>
  <c r="G70" i="13"/>
  <c r="AF16" i="13"/>
  <c r="G34" i="13"/>
  <c r="AI11" i="13"/>
  <c r="AH13" i="13"/>
  <c r="AG85" i="13"/>
  <c r="AH12" i="13"/>
  <c r="AI12" i="13"/>
  <c r="AG82" i="13"/>
  <c r="AH10" i="13"/>
  <c r="AB9" i="13"/>
  <c r="Z81" i="13"/>
  <c r="AA9" i="13"/>
  <c r="Z79" i="13"/>
  <c r="AB7" i="13"/>
  <c r="Z15" i="13"/>
  <c r="AB15" i="13"/>
  <c r="AH6" i="13"/>
  <c r="AA5" i="13"/>
  <c r="Z87" i="13"/>
  <c r="AA15" i="13"/>
  <c r="Z77" i="13"/>
  <c r="AA4" i="13"/>
  <c r="AB5" i="13"/>
  <c r="Z16" i="13"/>
  <c r="AA16" i="13"/>
  <c r="Z76" i="13"/>
  <c r="AB4" i="13"/>
  <c r="Z88" i="13"/>
  <c r="AB16" i="13"/>
  <c r="P30" i="15"/>
  <c r="G11" i="15"/>
  <c r="P6" i="15"/>
  <c r="P7" i="15"/>
  <c r="P31" i="15"/>
  <c r="G13" i="15"/>
  <c r="P26" i="15"/>
  <c r="P33" i="15"/>
  <c r="P10" i="15"/>
  <c r="P27" i="15"/>
  <c r="G34" i="15"/>
  <c r="H93" i="13"/>
  <c r="H96" i="13"/>
  <c r="H5" i="13"/>
  <c r="H4" i="13"/>
  <c r="H16" i="13"/>
  <c r="H88" i="13"/>
  <c r="H15" i="13"/>
  <c r="H87" i="13"/>
  <c r="H81" i="13"/>
  <c r="H79" i="13"/>
  <c r="H77" i="13"/>
  <c r="H76" i="13"/>
  <c r="H94" i="13"/>
  <c r="I9" i="13"/>
  <c r="J9" i="13"/>
  <c r="I7" i="13"/>
  <c r="J7" i="13"/>
  <c r="I15" i="13"/>
  <c r="I25" i="13"/>
  <c r="I5" i="13"/>
  <c r="I16" i="13"/>
  <c r="J5" i="13"/>
  <c r="J25" i="13"/>
  <c r="I23" i="13"/>
  <c r="I4" i="13"/>
  <c r="H33" i="13"/>
  <c r="I33" i="13"/>
  <c r="H104" i="13"/>
  <c r="I22" i="13"/>
  <c r="J4" i="13"/>
  <c r="J15" i="13"/>
  <c r="J23" i="13"/>
  <c r="H34" i="13"/>
  <c r="I34" i="13"/>
  <c r="H105" i="13"/>
  <c r="J16" i="13"/>
  <c r="J33" i="13"/>
  <c r="J22" i="13"/>
  <c r="J34" i="13"/>
  <c r="AI9" i="13"/>
  <c r="AG7" i="13"/>
  <c r="AG79" i="13"/>
  <c r="AI7" i="13"/>
  <c r="AH7" i="13"/>
  <c r="AG5" i="13"/>
  <c r="AI5" i="13"/>
  <c r="AH5" i="13"/>
  <c r="AG77" i="13"/>
  <c r="AG15" i="13"/>
  <c r="AG87" i="13"/>
  <c r="AI15" i="13"/>
  <c r="AH15" i="13"/>
  <c r="AG4" i="13"/>
  <c r="AG76" i="13"/>
  <c r="AI4" i="13"/>
  <c r="AH4" i="13"/>
  <c r="AG16" i="13"/>
  <c r="AH16" i="13"/>
  <c r="AG88" i="13"/>
  <c r="AI16" i="13"/>
  <c r="G352" i="20"/>
  <c r="G351" i="20"/>
  <c r="G350" i="20"/>
  <c r="AH12" i="15"/>
  <c r="AI13" i="15"/>
  <c r="AK13" i="15"/>
  <c r="AM13" i="15"/>
  <c r="AC32" i="15"/>
  <c r="X12" i="15"/>
  <c r="X51" i="15"/>
  <c r="X24" i="15"/>
  <c r="AA32" i="15"/>
  <c r="K25" i="18"/>
  <c r="I25" i="18"/>
  <c r="D44" i="18"/>
  <c r="D32" i="18"/>
  <c r="D24" i="18"/>
  <c r="D35" i="18"/>
  <c r="R29" i="15"/>
  <c r="AH8" i="15"/>
  <c r="AI8" i="15"/>
  <c r="G12" i="15"/>
  <c r="I12" i="15"/>
  <c r="AL55" i="15"/>
  <c r="G28" i="18"/>
  <c r="F47" i="18"/>
  <c r="D5" i="15"/>
  <c r="D44" i="15"/>
  <c r="G25" i="15"/>
  <c r="D24" i="15"/>
  <c r="X48" i="15"/>
  <c r="AA29" i="15"/>
  <c r="AC29" i="15"/>
  <c r="I11" i="15"/>
  <c r="AH11" i="15"/>
  <c r="AK6" i="15"/>
  <c r="AI6" i="15"/>
  <c r="AH7" i="15"/>
  <c r="AH5" i="15"/>
  <c r="D29" i="15"/>
  <c r="I27" i="15"/>
  <c r="G27" i="15"/>
  <c r="AH27" i="15"/>
  <c r="U29" i="15"/>
  <c r="Q48" i="15"/>
  <c r="M36" i="15"/>
  <c r="P24" i="15"/>
  <c r="T24" i="15"/>
  <c r="AA33" i="15"/>
  <c r="X52" i="15"/>
  <c r="AC33" i="15"/>
  <c r="K15" i="18"/>
  <c r="I15" i="18"/>
  <c r="D16" i="18"/>
  <c r="K4" i="18"/>
  <c r="I4" i="18"/>
  <c r="AM10" i="15"/>
  <c r="AI10" i="15"/>
  <c r="G31" i="15"/>
  <c r="I31" i="15"/>
  <c r="AH31" i="15"/>
  <c r="D50" i="15"/>
  <c r="AI26" i="15"/>
  <c r="AM26" i="15"/>
  <c r="AK26" i="15"/>
  <c r="AJ11" i="15"/>
  <c r="O5" i="15"/>
  <c r="P11" i="15"/>
  <c r="O50" i="15"/>
  <c r="I34" i="18"/>
  <c r="D53" i="18"/>
  <c r="K34" i="18"/>
  <c r="AH28" i="15"/>
  <c r="I32" i="15"/>
  <c r="G32" i="15"/>
  <c r="D51" i="15"/>
  <c r="I7" i="15"/>
  <c r="D9" i="15"/>
  <c r="AL48" i="15"/>
  <c r="G7" i="15"/>
  <c r="I25" i="15"/>
  <c r="D35" i="15"/>
  <c r="M15" i="15"/>
  <c r="R5" i="15"/>
  <c r="AC5" i="15"/>
  <c r="X15" i="15"/>
  <c r="AM30" i="15"/>
  <c r="AI30" i="15"/>
  <c r="AH49" i="15"/>
  <c r="AP36" i="15"/>
  <c r="M29" i="15"/>
  <c r="P29" i="15"/>
  <c r="AJ29" i="15"/>
  <c r="AJ48" i="15"/>
  <c r="M12" i="15"/>
  <c r="M51" i="15"/>
  <c r="T32" i="15"/>
  <c r="P32" i="15"/>
  <c r="M47" i="15"/>
  <c r="T28" i="15"/>
  <c r="M9" i="15"/>
  <c r="AP35" i="15"/>
  <c r="AC9" i="15"/>
  <c r="AA9" i="15"/>
  <c r="X4" i="15"/>
  <c r="AC13" i="15"/>
  <c r="AH33" i="15"/>
  <c r="F5" i="18"/>
  <c r="F49" i="18"/>
  <c r="M35" i="15"/>
  <c r="AA10" i="15"/>
  <c r="P35" i="15"/>
  <c r="G10" i="15"/>
  <c r="G6" i="15"/>
  <c r="I30" i="15"/>
  <c r="U36" i="15"/>
  <c r="I6" i="15"/>
  <c r="X35" i="15"/>
  <c r="D48" i="18"/>
  <c r="G26" i="18"/>
  <c r="F25" i="18"/>
  <c r="F46" i="18"/>
  <c r="AA26" i="15"/>
  <c r="P36" i="15"/>
  <c r="P25" i="15"/>
  <c r="AC25" i="15"/>
  <c r="X44" i="15"/>
  <c r="G27" i="18"/>
  <c r="G33" i="18"/>
  <c r="F9" i="18"/>
  <c r="G9" i="18"/>
  <c r="G26" i="15"/>
  <c r="AC30" i="15"/>
  <c r="O47" i="15"/>
  <c r="AA6" i="15"/>
  <c r="AA30" i="15"/>
  <c r="I33" i="18"/>
  <c r="G34" i="18"/>
  <c r="F32" i="18"/>
  <c r="I30" i="18"/>
  <c r="J272" i="20"/>
  <c r="L130" i="20"/>
  <c r="I52" i="20"/>
  <c r="K52" i="20"/>
  <c r="K54" i="20"/>
  <c r="I254" i="20"/>
  <c r="J273" i="20"/>
  <c r="J274" i="20"/>
  <c r="K56" i="20"/>
  <c r="K55" i="20"/>
  <c r="I99" i="20"/>
  <c r="I278" i="20"/>
  <c r="J195" i="20"/>
  <c r="H22" i="20"/>
  <c r="J277" i="20"/>
  <c r="J276" i="20"/>
  <c r="I176" i="20"/>
  <c r="J275" i="20"/>
  <c r="H58" i="20"/>
  <c r="I58" i="20"/>
  <c r="X16" i="15"/>
  <c r="AC4" i="15"/>
  <c r="AA4" i="15"/>
  <c r="AK31" i="15"/>
  <c r="AM31" i="15"/>
  <c r="AH50" i="15"/>
  <c r="AI31" i="15"/>
  <c r="AA24" i="15"/>
  <c r="X36" i="15"/>
  <c r="AC24" i="15"/>
  <c r="X43" i="15"/>
  <c r="F48" i="18"/>
  <c r="O44" i="15"/>
  <c r="O4" i="15"/>
  <c r="P5" i="15"/>
  <c r="O15" i="15"/>
  <c r="P9" i="15"/>
  <c r="T9" i="15"/>
  <c r="R9" i="15"/>
  <c r="AA15" i="15"/>
  <c r="AC15" i="15"/>
  <c r="AP11" i="15"/>
  <c r="AK11" i="15"/>
  <c r="AJ50" i="15"/>
  <c r="AJ5" i="15"/>
  <c r="R12" i="15"/>
  <c r="T12" i="15"/>
  <c r="P12" i="15"/>
  <c r="AK27" i="15"/>
  <c r="AM27" i="15"/>
  <c r="AI27" i="15"/>
  <c r="AH46" i="15"/>
  <c r="K24" i="18"/>
  <c r="D43" i="18"/>
  <c r="I24" i="18"/>
  <c r="D36" i="18"/>
  <c r="F44" i="18"/>
  <c r="F35" i="18"/>
  <c r="F24" i="18"/>
  <c r="G25" i="18"/>
  <c r="D4" i="15"/>
  <c r="I5" i="15"/>
  <c r="G5" i="15"/>
  <c r="D15" i="15"/>
  <c r="AI11" i="15"/>
  <c r="AM11" i="15"/>
  <c r="AH47" i="15"/>
  <c r="AI28" i="15"/>
  <c r="F4" i="18"/>
  <c r="F15" i="18"/>
  <c r="G15" i="18"/>
  <c r="G5" i="18"/>
  <c r="R15" i="15"/>
  <c r="T15" i="15"/>
  <c r="K16" i="18"/>
  <c r="I16" i="18"/>
  <c r="D43" i="15"/>
  <c r="I24" i="15"/>
  <c r="D36" i="15"/>
  <c r="G24" i="15"/>
  <c r="D54" i="15"/>
  <c r="G35" i="15"/>
  <c r="I35" i="15"/>
  <c r="T36" i="15"/>
  <c r="I35" i="18"/>
  <c r="D54" i="18"/>
  <c r="K35" i="18"/>
  <c r="AC12" i="15"/>
  <c r="AA12" i="15"/>
  <c r="AH25" i="15"/>
  <c r="AH4" i="15"/>
  <c r="AH15" i="15"/>
  <c r="AI5" i="15"/>
  <c r="AM5" i="15"/>
  <c r="AH32" i="15"/>
  <c r="AI33" i="15"/>
  <c r="AH52" i="15"/>
  <c r="AK33" i="15"/>
  <c r="AM33" i="15"/>
  <c r="T29" i="15"/>
  <c r="M48" i="15"/>
  <c r="F51" i="18"/>
  <c r="G32" i="18"/>
  <c r="AA35" i="15"/>
  <c r="AC35" i="15"/>
  <c r="X54" i="15"/>
  <c r="T35" i="15"/>
  <c r="M54" i="15"/>
  <c r="AI7" i="15"/>
  <c r="AM7" i="15"/>
  <c r="AK7" i="15"/>
  <c r="I32" i="18"/>
  <c r="K32" i="18"/>
  <c r="D51" i="18"/>
  <c r="M4" i="15"/>
  <c r="G9" i="15"/>
  <c r="AH9" i="15"/>
  <c r="I9" i="15"/>
  <c r="D48" i="15"/>
  <c r="I29" i="15"/>
  <c r="AH29" i="15"/>
  <c r="G29" i="15"/>
  <c r="AM12" i="15"/>
  <c r="AK12" i="15"/>
  <c r="AI12" i="15"/>
  <c r="J278" i="20"/>
  <c r="AI15" i="15"/>
  <c r="AM15" i="15"/>
  <c r="AM4" i="15"/>
  <c r="AI4" i="15"/>
  <c r="AH16" i="15"/>
  <c r="G24" i="18"/>
  <c r="F43" i="18"/>
  <c r="F36" i="18"/>
  <c r="AH35" i="15"/>
  <c r="AH24" i="15"/>
  <c r="AI25" i="15"/>
  <c r="AH44" i="15"/>
  <c r="AK25" i="15"/>
  <c r="AM25" i="15"/>
  <c r="F54" i="18"/>
  <c r="G35" i="18"/>
  <c r="O43" i="15"/>
  <c r="P4" i="15"/>
  <c r="O16" i="15"/>
  <c r="AH48" i="15"/>
  <c r="AI29" i="15"/>
  <c r="AM29" i="15"/>
  <c r="I15" i="15"/>
  <c r="G15" i="15"/>
  <c r="I36" i="18"/>
  <c r="D55" i="18"/>
  <c r="K36" i="18"/>
  <c r="AH51" i="15"/>
  <c r="AM32" i="15"/>
  <c r="AK32" i="15"/>
  <c r="AI32" i="15"/>
  <c r="I36" i="15"/>
  <c r="G36" i="15"/>
  <c r="AJ15" i="15"/>
  <c r="P15" i="15"/>
  <c r="O54" i="15"/>
  <c r="M16" i="15"/>
  <c r="T4" i="15"/>
  <c r="R4" i="15"/>
  <c r="M43" i="15"/>
  <c r="AM9" i="15"/>
  <c r="AI9" i="15"/>
  <c r="G4" i="18"/>
  <c r="F16" i="18"/>
  <c r="G16" i="18"/>
  <c r="I4" i="15"/>
  <c r="D16" i="15"/>
  <c r="G4" i="15"/>
  <c r="AP5" i="15"/>
  <c r="AJ44" i="15"/>
  <c r="AJ4" i="15"/>
  <c r="AK5" i="15"/>
  <c r="AC36" i="15"/>
  <c r="AA36" i="15"/>
  <c r="X55" i="15"/>
  <c r="AA16" i="15"/>
  <c r="AC16" i="15"/>
  <c r="H45" i="20"/>
  <c r="I45" i="20"/>
  <c r="C46" i="20"/>
  <c r="G16" i="15"/>
  <c r="I16" i="15"/>
  <c r="AK4" i="15"/>
  <c r="AJ43" i="15"/>
  <c r="AP4" i="15"/>
  <c r="AJ16" i="15"/>
  <c r="P16" i="15"/>
  <c r="O55" i="15"/>
  <c r="G36" i="18"/>
  <c r="F55" i="18"/>
  <c r="T16" i="15"/>
  <c r="R16" i="15"/>
  <c r="M55" i="15"/>
  <c r="AM16" i="15"/>
  <c r="AI16" i="15"/>
  <c r="AP15" i="15"/>
  <c r="AK15" i="15"/>
  <c r="AJ54" i="15"/>
  <c r="AM24" i="15"/>
  <c r="AH43" i="15"/>
  <c r="AH36" i="15"/>
  <c r="AK24" i="15"/>
  <c r="AI24" i="15"/>
  <c r="D55" i="15"/>
  <c r="AI35" i="15"/>
  <c r="AH54" i="15"/>
  <c r="AK35" i="15"/>
  <c r="AM35" i="15"/>
  <c r="B124" i="20"/>
  <c r="I123" i="20"/>
  <c r="J123" i="20"/>
  <c r="C124" i="20"/>
  <c r="AH55" i="15"/>
  <c r="AI36" i="15"/>
  <c r="AM36" i="15"/>
  <c r="AK36" i="15"/>
  <c r="AK16" i="15"/>
  <c r="AP16" i="15"/>
  <c r="AJ55" i="15"/>
  <c r="J198" i="20"/>
  <c r="I200" i="20"/>
  <c r="J200" i="20"/>
  <c r="J197" i="20"/>
  <c r="G362" i="20"/>
  <c r="G363" i="20"/>
  <c r="F355" i="20"/>
  <c r="G355" i="20"/>
  <c r="G364" i="20"/>
  <c r="G366" i="20"/>
  <c r="L212" i="20"/>
  <c r="J213" i="20"/>
  <c r="K67" i="20"/>
  <c r="K66" i="20"/>
  <c r="K68" i="20"/>
  <c r="K64" i="20"/>
  <c r="H70" i="20"/>
  <c r="J285" i="20"/>
  <c r="J208" i="20"/>
  <c r="I364" i="20"/>
  <c r="I363" i="20"/>
  <c r="F367" i="20"/>
  <c r="I367" i="20"/>
  <c r="J210" i="20"/>
  <c r="I214" i="20"/>
  <c r="L214" i="20"/>
  <c r="J133" i="20"/>
  <c r="J129" i="20"/>
  <c r="I124" i="20"/>
  <c r="J124" i="20"/>
  <c r="J130" i="20"/>
  <c r="I70" i="20"/>
  <c r="K143" i="20"/>
  <c r="K142" i="20"/>
  <c r="K141" i="20"/>
  <c r="K145" i="20"/>
  <c r="K144" i="20"/>
  <c r="I56" i="20"/>
  <c r="I57" i="20"/>
  <c r="K58" i="20"/>
  <c r="I44" i="20"/>
  <c r="J134" i="20"/>
  <c r="J146" i="20"/>
  <c r="G365" i="20"/>
  <c r="G361" i="20"/>
  <c r="I366" i="20"/>
  <c r="L287" i="20"/>
  <c r="J289" i="20"/>
  <c r="I291" i="20"/>
  <c r="I146" i="20"/>
  <c r="I149" i="20"/>
  <c r="L134" i="20"/>
  <c r="L129" i="20"/>
  <c r="J132" i="20"/>
  <c r="J131" i="20"/>
  <c r="I135" i="20"/>
  <c r="K70" i="20"/>
  <c r="H74" i="20"/>
  <c r="J74" i="20"/>
  <c r="J70" i="20"/>
  <c r="G367" i="20"/>
  <c r="J214" i="20"/>
  <c r="K146" i="20"/>
  <c r="L291" i="20"/>
  <c r="J291" i="20"/>
  <c r="L135" i="20"/>
  <c r="J135" i="20"/>
</calcChain>
</file>

<file path=xl/sharedStrings.xml><?xml version="1.0" encoding="utf-8"?>
<sst xmlns="http://schemas.openxmlformats.org/spreadsheetml/2006/main" count="1837" uniqueCount="205">
  <si>
    <t>SH Clinic</t>
    <phoneticPr fontId="2" type="noConversion"/>
  </si>
  <si>
    <t>HZ Fashion</t>
    <phoneticPr fontId="2" type="noConversion"/>
  </si>
  <si>
    <t>HZ Ruerong</t>
    <phoneticPr fontId="2" type="noConversion"/>
  </si>
  <si>
    <t>HZ Xinya</t>
    <phoneticPr fontId="2" type="noConversion"/>
  </si>
  <si>
    <t>Suzhuo Clinic</t>
    <phoneticPr fontId="2" type="noConversion"/>
  </si>
  <si>
    <r>
      <rPr>
        <i/>
        <sz val="10"/>
        <color theme="1"/>
        <rFont val="等线"/>
      </rPr>
      <t>杭州时尚</t>
    </r>
    <phoneticPr fontId="2" type="noConversion"/>
  </si>
  <si>
    <r>
      <rPr>
        <i/>
        <sz val="10"/>
        <color theme="1"/>
        <rFont val="等线"/>
      </rPr>
      <t>杭州悦容（西子）</t>
    </r>
    <phoneticPr fontId="2" type="noConversion"/>
  </si>
  <si>
    <r>
      <rPr>
        <i/>
        <sz val="10"/>
        <color theme="1"/>
        <rFont val="等线"/>
      </rPr>
      <t>杭州素颜丰潭（城西）</t>
    </r>
    <phoneticPr fontId="2" type="noConversion"/>
  </si>
  <si>
    <r>
      <rPr>
        <i/>
        <sz val="10"/>
        <color theme="1"/>
        <rFont val="等线"/>
      </rPr>
      <t>杭州新芽（万通）</t>
    </r>
    <phoneticPr fontId="2" type="noConversion"/>
  </si>
  <si>
    <r>
      <rPr>
        <i/>
        <sz val="10"/>
        <color theme="1"/>
        <rFont val="等线"/>
      </rPr>
      <t>上海诊所</t>
    </r>
    <phoneticPr fontId="2" type="noConversion"/>
  </si>
  <si>
    <r>
      <rPr>
        <i/>
        <sz val="10"/>
        <color theme="1"/>
        <rFont val="等线"/>
      </rPr>
      <t>苏州诊所</t>
    </r>
    <phoneticPr fontId="2" type="noConversion"/>
  </si>
  <si>
    <t>Wu huiling</t>
    <phoneticPr fontId="2" type="noConversion"/>
  </si>
  <si>
    <t>Evl%</t>
    <phoneticPr fontId="2" type="noConversion"/>
  </si>
  <si>
    <t>National Total</t>
    <phoneticPr fontId="2" type="noConversion"/>
  </si>
  <si>
    <t>HZ Total</t>
  </si>
  <si>
    <t>HZ Suyan Fengtan(West)</t>
    <phoneticPr fontId="2" type="noConversion"/>
  </si>
  <si>
    <t>outsize HZ Total</t>
  </si>
  <si>
    <t>YesSkin</t>
    <phoneticPr fontId="2" type="noConversion"/>
  </si>
  <si>
    <t>杭州悦容（西子）</t>
    <phoneticPr fontId="2" type="noConversion"/>
  </si>
  <si>
    <r>
      <rPr>
        <i/>
        <sz val="9"/>
        <color theme="1"/>
        <rFont val="Microsoft YaHei"/>
        <family val="2"/>
        <charset val="134"/>
      </rPr>
      <t>杭州悦容（西子）</t>
    </r>
    <r>
      <rPr>
        <i/>
        <sz val="9"/>
        <color theme="1"/>
        <rFont val="Century Gothic"/>
        <family val="2"/>
      </rPr>
      <t xml:space="preserve"> excl. Wu huiling</t>
    </r>
    <phoneticPr fontId="2" type="noConversion"/>
  </si>
  <si>
    <t>消耗</t>
    <phoneticPr fontId="2" type="noConversion"/>
  </si>
  <si>
    <r>
      <rPr>
        <b/>
        <sz val="10"/>
        <color theme="0"/>
        <rFont val="DengXian"/>
        <family val="2"/>
        <charset val="134"/>
      </rPr>
      <t>全国合计</t>
    </r>
    <r>
      <rPr>
        <b/>
        <sz val="10"/>
        <color theme="0"/>
        <rFont val="Century Gothic"/>
        <family val="2"/>
      </rPr>
      <t xml:space="preserve"> Total</t>
    </r>
    <phoneticPr fontId="2" type="noConversion"/>
  </si>
  <si>
    <t>杭州合计</t>
    <phoneticPr fontId="2" type="noConversion"/>
  </si>
  <si>
    <t>杭外合计</t>
    <phoneticPr fontId="2" type="noConversion"/>
  </si>
  <si>
    <r>
      <t>1</t>
    </r>
    <r>
      <rPr>
        <b/>
        <sz val="10"/>
        <color theme="1"/>
        <rFont val="DengXian"/>
        <family val="2"/>
        <charset val="134"/>
      </rPr>
      <t>月消耗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</si>
  <si>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年1月指标</t>
    </r>
    <phoneticPr fontId="2" type="noConversion"/>
  </si>
  <si>
    <t>增幅</t>
    <phoneticPr fontId="2" type="noConversion"/>
  </si>
  <si>
    <t>吴慧玲</t>
    <phoneticPr fontId="2" type="noConversion"/>
  </si>
  <si>
    <r>
      <rPr>
        <i/>
        <sz val="9"/>
        <color theme="1"/>
        <rFont val="Microsoft YaHei"/>
        <family val="2"/>
        <charset val="134"/>
      </rPr>
      <t>杭州悦容（西子）</t>
    </r>
    <r>
      <rPr>
        <i/>
        <sz val="9"/>
        <color theme="1"/>
        <rFont val="Century Gothic"/>
        <family val="2"/>
      </rPr>
      <t xml:space="preserve"> </t>
    </r>
    <r>
      <rPr>
        <i/>
        <sz val="9"/>
        <color theme="1"/>
        <rFont val="Microsoft YaHei"/>
        <family val="2"/>
        <charset val="134"/>
      </rPr>
      <t>不含吴慧玲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</si>
  <si>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</t>
    </r>
    <r>
      <rPr>
        <b/>
        <sz val="10"/>
        <color theme="1"/>
        <rFont val="Century Gothic"/>
        <family val="2"/>
      </rPr>
      <t>1</t>
    </r>
    <r>
      <rPr>
        <b/>
        <sz val="10"/>
        <color theme="1"/>
        <rFont val="DengXian"/>
        <family val="2"/>
        <charset val="134"/>
      </rPr>
      <t>月实际</t>
    </r>
    <phoneticPr fontId="2" type="noConversion"/>
  </si>
  <si>
    <t>杭州不含吴慧玲</t>
    <phoneticPr fontId="2" type="noConversion"/>
  </si>
  <si>
    <t>全国不含吴慧玲</t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</si>
  <si>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年2月实际</t>
    </r>
    <phoneticPr fontId="2" type="noConversion"/>
  </si>
  <si>
    <r>
      <t>2</t>
    </r>
    <r>
      <rPr>
        <b/>
        <sz val="10"/>
        <color theme="1"/>
        <rFont val="DengXian"/>
        <family val="2"/>
        <charset val="134"/>
      </rPr>
      <t>月消耗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</si>
  <si>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年2月指标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</si>
  <si>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年1+2月实际</t>
    </r>
    <phoneticPr fontId="2" type="noConversion"/>
  </si>
  <si>
    <r>
      <t>1</t>
    </r>
    <r>
      <rPr>
        <b/>
        <sz val="10"/>
        <color theme="1"/>
        <rFont val="DengXian"/>
        <family val="2"/>
        <charset val="134"/>
      </rPr>
      <t>月+2月消耗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</si>
  <si>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年1+2月指标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</si>
  <si>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年3月实际</t>
    </r>
    <phoneticPr fontId="2" type="noConversion"/>
  </si>
  <si>
    <t>3月消耗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</si>
  <si>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年3月指标</t>
    </r>
    <phoneticPr fontId="2" type="noConversion"/>
  </si>
  <si>
    <r>
      <t>1</t>
    </r>
    <r>
      <rPr>
        <b/>
        <sz val="10"/>
        <color theme="1"/>
        <rFont val="DengXian"/>
        <family val="2"/>
        <charset val="134"/>
      </rPr>
      <t>月开单</t>
    </r>
    <phoneticPr fontId="2" type="noConversion"/>
  </si>
  <si>
    <t>开单</t>
    <phoneticPr fontId="2" type="noConversion"/>
  </si>
  <si>
    <r>
      <rPr>
        <b/>
        <sz val="14"/>
        <color theme="1"/>
        <rFont val="DengXian"/>
        <family val="2"/>
        <charset val="134"/>
      </rPr>
      <t>开单</t>
    </r>
    <r>
      <rPr>
        <b/>
        <sz val="14"/>
        <color theme="1"/>
        <rFont val="Century Gothic"/>
        <family val="2"/>
      </rPr>
      <t>vs</t>
    </r>
    <r>
      <rPr>
        <b/>
        <sz val="14"/>
        <color theme="1"/>
        <rFont val="DengXian"/>
        <family val="2"/>
        <charset val="134"/>
      </rPr>
      <t>消耗</t>
    </r>
    <phoneticPr fontId="2" type="noConversion"/>
  </si>
  <si>
    <r>
      <t>1</t>
    </r>
    <r>
      <rPr>
        <b/>
        <sz val="10"/>
        <color theme="1"/>
        <rFont val="DengXian"/>
        <family val="2"/>
        <charset val="134"/>
      </rPr>
      <t>月+2月开单</t>
    </r>
    <phoneticPr fontId="2" type="noConversion"/>
  </si>
  <si>
    <r>
      <t>2</t>
    </r>
    <r>
      <rPr>
        <b/>
        <sz val="10"/>
        <color theme="1"/>
        <rFont val="DengXian"/>
        <family val="2"/>
        <charset val="134"/>
      </rPr>
      <t>月开单</t>
    </r>
    <phoneticPr fontId="2" type="noConversion"/>
  </si>
  <si>
    <t>3月开单</t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</si>
  <si>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年一季度</t>
    </r>
    <phoneticPr fontId="2" type="noConversion"/>
  </si>
  <si>
    <t>一季度消耗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</si>
  <si>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年一季度指标</t>
    </r>
    <phoneticPr fontId="2" type="noConversion"/>
  </si>
  <si>
    <t>一季度开单</t>
    <phoneticPr fontId="2" type="noConversion"/>
  </si>
  <si>
    <t>实际比例</t>
    <phoneticPr fontId="2" type="noConversion"/>
  </si>
  <si>
    <t>开单/消耗</t>
    <phoneticPr fontId="2" type="noConversion"/>
  </si>
  <si>
    <t>YesSkin</t>
  </si>
  <si>
    <t>指标比例</t>
  </si>
  <si>
    <t>指标比例</t>
    <phoneticPr fontId="2" type="noConversion"/>
  </si>
  <si>
    <t>增幅</t>
  </si>
  <si>
    <r>
      <t>2024</t>
    </r>
    <r>
      <rPr>
        <b/>
        <sz val="10"/>
        <color theme="1"/>
        <rFont val="DengXian"/>
        <family val="2"/>
        <charset val="134"/>
      </rPr>
      <t>年4月实际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</si>
  <si>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年4月指标</t>
    </r>
    <phoneticPr fontId="2" type="noConversion"/>
  </si>
  <si>
    <t>4月消耗</t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</si>
  <si>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年5月实际</t>
    </r>
    <phoneticPr fontId="2" type="noConversion"/>
  </si>
  <si>
    <t>5月消耗</t>
    <phoneticPr fontId="2" type="noConversion"/>
  </si>
  <si>
    <t>4月开单</t>
    <phoneticPr fontId="2" type="noConversion"/>
  </si>
  <si>
    <t>5月开单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</si>
  <si>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年5月指标</t>
    </r>
    <r>
      <rPr>
        <b/>
        <sz val="10"/>
        <color theme="1"/>
        <rFont val="Century Gothic"/>
        <family val="2"/>
      </rPr>
      <t>-0428</t>
    </r>
    <phoneticPr fontId="2" type="noConversion"/>
  </si>
  <si>
    <r>
      <t>2025</t>
    </r>
    <r>
      <rPr>
        <b/>
        <sz val="10"/>
        <color theme="0" tint="-0.34998626667073579"/>
        <rFont val="DengXian"/>
        <family val="2"/>
        <charset val="134"/>
      </rPr>
      <t>年5月指标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</si>
  <si>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年5月指标</t>
    </r>
    <r>
      <rPr>
        <b/>
        <sz val="10"/>
        <color theme="1"/>
        <rFont val="DengXian"/>
        <family val="2"/>
      </rPr>
      <t>-0428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</si>
  <si>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年6月实际</t>
    </r>
    <phoneticPr fontId="2" type="noConversion"/>
  </si>
  <si>
    <t>6月消耗</t>
    <phoneticPr fontId="2" type="noConversion"/>
  </si>
  <si>
    <t>6月开单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</si>
  <si>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年6月指标</t>
    </r>
    <r>
      <rPr>
        <b/>
        <sz val="10"/>
        <color theme="1"/>
        <rFont val="Century Gothic"/>
        <family val="2"/>
      </rPr>
      <t>-0520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</si>
  <si>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</t>
    </r>
    <r>
      <rPr>
        <b/>
        <sz val="10"/>
        <color theme="1"/>
        <rFont val="Century Gothic"/>
        <family val="2"/>
      </rPr>
      <t>1</t>
    </r>
    <r>
      <rPr>
        <b/>
        <sz val="10"/>
        <color theme="1"/>
        <rFont val="DengXian"/>
        <family val="2"/>
        <charset val="134"/>
      </rPr>
      <t>月实际（自然月）</t>
    </r>
    <phoneticPr fontId="2" type="noConversion"/>
  </si>
  <si>
    <t>指标达成率</t>
    <phoneticPr fontId="2" type="noConversion"/>
  </si>
  <si>
    <t>门店按自然月下指标，按自然月考核</t>
    <phoneticPr fontId="2" type="noConversion"/>
  </si>
  <si>
    <r>
      <t xml:space="preserve">2025 </t>
    </r>
    <r>
      <rPr>
        <b/>
        <sz val="10"/>
        <color theme="1"/>
        <rFont val="DengXian"/>
        <family val="2"/>
        <charset val="134"/>
      </rPr>
      <t>年2月实际（自然月）</t>
    </r>
    <phoneticPr fontId="2" type="noConversion"/>
  </si>
  <si>
    <r>
      <t xml:space="preserve">2025 </t>
    </r>
    <r>
      <rPr>
        <b/>
        <sz val="10"/>
        <color theme="1"/>
        <rFont val="DengXian"/>
        <family val="2"/>
        <charset val="134"/>
      </rPr>
      <t>年3月实际（自然月）</t>
    </r>
    <phoneticPr fontId="2" type="noConversion"/>
  </si>
  <si>
    <t>Q1指标覆盖时间：自然月1/1-3/31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</si>
  <si>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年一季度实际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</si>
  <si>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年4月实际（自然月）</t>
    </r>
    <phoneticPr fontId="2" type="noConversion"/>
  </si>
  <si>
    <r>
      <t>2025</t>
    </r>
    <r>
      <rPr>
        <b/>
        <sz val="10"/>
        <color theme="0" tint="-0.34998626667073579"/>
        <rFont val="DengXian"/>
        <family val="2"/>
        <charset val="134"/>
      </rPr>
      <t>年5月指标</t>
    </r>
    <r>
      <rPr>
        <b/>
        <sz val="10"/>
        <color theme="0" tint="-0.34998626667073579"/>
        <rFont val="Century Gothic"/>
        <family val="2"/>
      </rPr>
      <t>-0326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</si>
  <si>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年5月实际（自然月）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</si>
  <si>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</t>
    </r>
    <r>
      <rPr>
        <b/>
        <sz val="10"/>
        <color theme="1"/>
        <rFont val="Century Gothic"/>
        <family val="2"/>
      </rPr>
      <t>1+2</t>
    </r>
    <r>
      <rPr>
        <b/>
        <sz val="10"/>
        <color theme="1"/>
        <rFont val="DengXian"/>
        <family val="2"/>
        <charset val="134"/>
      </rPr>
      <t>月实际</t>
    </r>
    <phoneticPr fontId="2" type="noConversion"/>
  </si>
  <si>
    <t>门店实际比例</t>
    <phoneticPr fontId="2" type="noConversion"/>
  </si>
  <si>
    <t>2025年4月指标</t>
  </si>
  <si>
    <r>
      <t>2025</t>
    </r>
    <r>
      <rPr>
        <b/>
        <sz val="10"/>
        <color theme="0" tint="-0.249977111117893"/>
        <rFont val="DengXian"/>
        <family val="2"/>
        <charset val="134"/>
      </rPr>
      <t>年5月指标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</si>
  <si>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年6月实际（自然月）</t>
    </r>
    <phoneticPr fontId="2" type="noConversion"/>
  </si>
  <si>
    <r>
      <t xml:space="preserve">2025 </t>
    </r>
    <r>
      <rPr>
        <b/>
        <sz val="10"/>
        <color theme="1"/>
        <rFont val="DengXian"/>
        <family val="2"/>
        <charset val="134"/>
      </rPr>
      <t>年6月实际（自然月）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</si>
  <si>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年二季度</t>
    </r>
    <phoneticPr fontId="2" type="noConversion"/>
  </si>
  <si>
    <t>二季度消耗</t>
    <phoneticPr fontId="2" type="noConversion"/>
  </si>
  <si>
    <r>
      <t>2025</t>
    </r>
    <r>
      <rPr>
        <b/>
        <sz val="10"/>
        <color theme="0" tint="-0.34998626667073579"/>
        <rFont val="DengXian"/>
        <family val="2"/>
        <charset val="134"/>
      </rPr>
      <t>年6月指标</t>
    </r>
    <r>
      <rPr>
        <b/>
        <sz val="10"/>
        <color theme="0" tint="-0.34998626667073579"/>
        <rFont val="Century Gothic"/>
        <family val="2"/>
      </rPr>
      <t>-0326</t>
    </r>
    <phoneticPr fontId="2" type="noConversion"/>
  </si>
  <si>
    <r>
      <t>2025</t>
    </r>
    <r>
      <rPr>
        <b/>
        <sz val="10"/>
        <color theme="0" tint="-0.249977111117893"/>
        <rFont val="DengXian"/>
        <family val="2"/>
        <charset val="134"/>
      </rPr>
      <t>年二季度指标</t>
    </r>
    <r>
      <rPr>
        <b/>
        <sz val="10"/>
        <color theme="0" tint="-0.249977111117893"/>
        <rFont val="Century Gothic"/>
        <family val="2"/>
      </rPr>
      <t>-0326</t>
    </r>
    <phoneticPr fontId="2" type="noConversion"/>
  </si>
  <si>
    <r>
      <t>2025</t>
    </r>
    <r>
      <rPr>
        <b/>
        <sz val="10"/>
        <rFont val="DengXian"/>
        <family val="2"/>
        <charset val="134"/>
      </rPr>
      <t>年二季度指标</t>
    </r>
    <r>
      <rPr>
        <b/>
        <sz val="10"/>
        <rFont val="Century Gothic"/>
        <family val="2"/>
      </rPr>
      <t>-</t>
    </r>
    <r>
      <rPr>
        <b/>
        <sz val="10"/>
        <rFont val="DengXian"/>
        <family val="2"/>
        <charset val="134"/>
      </rPr>
      <t>调整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</si>
  <si>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年二季度实际</t>
    </r>
    <phoneticPr fontId="2" type="noConversion"/>
  </si>
  <si>
    <t>二季度开单</t>
    <phoneticPr fontId="2" type="noConversion"/>
  </si>
  <si>
    <r>
      <t>2025</t>
    </r>
    <r>
      <rPr>
        <b/>
        <sz val="10"/>
        <color theme="0" tint="-0.34998626667073579"/>
        <rFont val="DengXian"/>
        <family val="2"/>
        <charset val="134"/>
      </rPr>
      <t>年二季度指标</t>
    </r>
    <r>
      <rPr>
        <b/>
        <sz val="10"/>
        <color theme="0" tint="-0.34998626667073579"/>
        <rFont val="Century Gothic"/>
        <family val="2"/>
      </rPr>
      <t>-0326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</si>
  <si>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年二季度指标</t>
    </r>
    <r>
      <rPr>
        <b/>
        <sz val="10"/>
        <color theme="1"/>
        <rFont val="Century Gothic"/>
        <family val="2"/>
      </rPr>
      <t>-0520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</si>
  <si>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年7月实际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</si>
  <si>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年7月指标</t>
    </r>
    <phoneticPr fontId="2" type="noConversion"/>
  </si>
  <si>
    <t>7月消耗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</si>
  <si>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年7月SRI05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</si>
  <si>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年7月实际（自然月）</t>
    </r>
    <phoneticPr fontId="2" type="noConversion"/>
  </si>
  <si>
    <t>7月开单</t>
  </si>
  <si>
    <t>7月开单</t>
    <phoneticPr fontId="2" type="noConversion"/>
  </si>
  <si>
    <r>
      <t>2025</t>
    </r>
    <r>
      <rPr>
        <b/>
        <sz val="10"/>
        <color theme="1"/>
        <rFont val="Microsoft YaHei"/>
        <family val="2"/>
        <charset val="134"/>
      </rPr>
      <t>年7月指标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</si>
  <si>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年7月SRI05</t>
    </r>
    <phoneticPr fontId="2" type="noConversion"/>
  </si>
  <si>
    <t>比例</t>
    <phoneticPr fontId="2" type="noConversion"/>
  </si>
  <si>
    <t>Date</t>
  </si>
  <si>
    <t>合计</t>
    <phoneticPr fontId="45" type="noConversion"/>
  </si>
  <si>
    <t>Clinic</t>
  </si>
  <si>
    <t>消耗人数</t>
  </si>
  <si>
    <t>HZ YesSkin Kunhe</t>
  </si>
  <si>
    <t>HZ YesSkin Xizi</t>
  </si>
  <si>
    <t>HZ YesSkin Wantong</t>
  </si>
  <si>
    <t>HZ YesSkin West</t>
  </si>
  <si>
    <t>SH YesSkin KYMS</t>
  </si>
  <si>
    <t>SZ YesSkin Suyue Palaze</t>
  </si>
  <si>
    <t>Total</t>
  </si>
  <si>
    <t>预约人数</t>
    <phoneticPr fontId="45" type="noConversion"/>
  </si>
  <si>
    <t>7/1-7/6</t>
    <phoneticPr fontId="45" type="noConversion"/>
  </si>
  <si>
    <t>7/7-7/13</t>
    <phoneticPr fontId="45" type="noConversion"/>
  </si>
  <si>
    <t>2025年7月第二周（7/7-7/13）预约目标</t>
    <phoneticPr fontId="45" type="noConversion"/>
  </si>
  <si>
    <t>7/14-7/20</t>
    <phoneticPr fontId="45" type="noConversion"/>
  </si>
  <si>
    <t>2025年7月第三周（7/14-7/20）预约目标</t>
    <phoneticPr fontId="45" type="noConversion"/>
  </si>
  <si>
    <t>2025年7月第四周（7/21-7/27)预约到店目标</t>
    <phoneticPr fontId="45" type="noConversion"/>
  </si>
  <si>
    <t>7/21-7/27</t>
    <phoneticPr fontId="45" type="noConversion"/>
  </si>
  <si>
    <t>2025年7月第五周（7/28-7/31)预约到店目标</t>
    <phoneticPr fontId="45" type="noConversion"/>
  </si>
  <si>
    <t/>
  </si>
  <si>
    <t>消耗金额</t>
  </si>
  <si>
    <t>消耗金额</t>
    <phoneticPr fontId="2" type="noConversion"/>
  </si>
  <si>
    <t>开单金额</t>
    <phoneticPr fontId="2" type="noConversion"/>
  </si>
  <si>
    <t>本周对比目标缺口</t>
    <phoneticPr fontId="45" type="noConversion"/>
  </si>
  <si>
    <t>本周同比去年缺口</t>
    <phoneticPr fontId="45" type="noConversion"/>
  </si>
  <si>
    <t>2025年7月第二周（7/7-7/13）消耗目标</t>
    <phoneticPr fontId="45" type="noConversion"/>
  </si>
  <si>
    <t>消耗金额</t>
    <phoneticPr fontId="45" type="noConversion"/>
  </si>
  <si>
    <t>2025年7月第二周（7/7-7/13）实际消耗完成</t>
    <phoneticPr fontId="45" type="noConversion"/>
  </si>
  <si>
    <t>2025年7月第二周（7/7-7/13）开单目标</t>
    <phoneticPr fontId="45" type="noConversion"/>
  </si>
  <si>
    <t>2025年7月第二周（7/7-7/13）实际开单完成</t>
    <phoneticPr fontId="45" type="noConversion"/>
  </si>
  <si>
    <t>2025年7月第三周（7/14-7/20）开单目标</t>
    <phoneticPr fontId="45" type="noConversion"/>
  </si>
  <si>
    <t>2025年7月第三周（7/14-7/20）消耗目标</t>
    <phoneticPr fontId="45" type="noConversion"/>
  </si>
  <si>
    <t>2025年7月第三周（7/14-7/20）实际消耗</t>
    <phoneticPr fontId="45" type="noConversion"/>
  </si>
  <si>
    <t>2025年7月第三周（7/14-7/20）实际开单</t>
    <phoneticPr fontId="45" type="noConversion"/>
  </si>
  <si>
    <t>2025年7/1-7/6第一周消耗目标</t>
    <phoneticPr fontId="45" type="noConversion"/>
  </si>
  <si>
    <t>2025年7/1-7/6第一周开单目标</t>
    <phoneticPr fontId="45" type="noConversion"/>
  </si>
  <si>
    <t>2025年7/1-7/6第一周预约目标</t>
    <phoneticPr fontId="45" type="noConversion"/>
  </si>
  <si>
    <t>2025年7/1-7/6第一周实际消耗完成</t>
    <phoneticPr fontId="45" type="noConversion"/>
  </si>
  <si>
    <t>2025年7/1-7/6第一周开单实际达成</t>
    <phoneticPr fontId="45" type="noConversion"/>
  </si>
  <si>
    <t>2024年7/1-7/6第一周实际消耗金额</t>
    <phoneticPr fontId="45" type="noConversion"/>
  </si>
  <si>
    <t>2024年7/1-7/6第一周实际开单金额</t>
    <phoneticPr fontId="45" type="noConversion"/>
  </si>
  <si>
    <t>2024年7/7-7/13第二周实际消耗金额</t>
    <phoneticPr fontId="45" type="noConversion"/>
  </si>
  <si>
    <t>2024年7/7-7/13第二周实际开单金额</t>
    <phoneticPr fontId="45" type="noConversion"/>
  </si>
  <si>
    <t>2024年7/7-7/13第二周实际消耗人数</t>
    <phoneticPr fontId="45" type="noConversion"/>
  </si>
  <si>
    <t>2024年7/14-7/20第三周实际消耗金额</t>
    <phoneticPr fontId="45" type="noConversion"/>
  </si>
  <si>
    <t>2024年7/14-7/20第三周实际开单金额</t>
    <phoneticPr fontId="45" type="noConversion"/>
  </si>
  <si>
    <t>2024年7/14-7/20第三周实际消耗人数</t>
    <phoneticPr fontId="45" type="noConversion"/>
  </si>
  <si>
    <t>2025年7月第四周（7/21-7/27）消耗目标</t>
    <phoneticPr fontId="45" type="noConversion"/>
  </si>
  <si>
    <t>2025年7月第四周（7/21-7/27）开单目标</t>
    <phoneticPr fontId="45" type="noConversion"/>
  </si>
  <si>
    <t>2025年7月第四周（7/21-7/27)实际消耗</t>
    <phoneticPr fontId="45" type="noConversion"/>
  </si>
  <si>
    <t>2025年7月第四周（7/21-7/27)实际开单</t>
    <phoneticPr fontId="45" type="noConversion"/>
  </si>
  <si>
    <t>2024年第四周7/21-7/27实际消耗金额</t>
    <phoneticPr fontId="45" type="noConversion"/>
  </si>
  <si>
    <t>2024年第四周7/21-7/27实际开单金额</t>
    <phoneticPr fontId="45" type="noConversion"/>
  </si>
  <si>
    <t>2024年第四周7/21-7/27实际消耗人数</t>
    <phoneticPr fontId="45" type="noConversion"/>
  </si>
  <si>
    <t>2024年第五周7/28-7/31实际消耗人数</t>
    <phoneticPr fontId="45" type="noConversion"/>
  </si>
  <si>
    <t>7/28-7/31</t>
    <phoneticPr fontId="45" type="noConversion"/>
  </si>
  <si>
    <t>2024年第五周7/28-7/31实际消耗金额</t>
    <phoneticPr fontId="45" type="noConversion"/>
  </si>
  <si>
    <t>2024年第五周7/28-7/31实际开单金额</t>
    <phoneticPr fontId="45" type="noConversion"/>
  </si>
  <si>
    <t>2025年第五周7/28-7/31消耗目标</t>
    <phoneticPr fontId="45" type="noConversion"/>
  </si>
  <si>
    <t>2024年第五周7/28-7/31开单目标</t>
    <phoneticPr fontId="45" type="noConversion"/>
  </si>
  <si>
    <t>同比去年+/-</t>
    <phoneticPr fontId="45" type="noConversion"/>
  </si>
  <si>
    <t>截至7月2日对比目标缺口</t>
    <phoneticPr fontId="45" type="noConversion"/>
  </si>
  <si>
    <t>2天日销售目标完成率</t>
    <phoneticPr fontId="45" type="noConversion"/>
  </si>
  <si>
    <t>本月目标完成率</t>
    <phoneticPr fontId="45" type="noConversion"/>
  </si>
  <si>
    <t>A</t>
    <phoneticPr fontId="2" type="noConversion"/>
  </si>
  <si>
    <t>7/1-7/6</t>
    <phoneticPr fontId="2" type="noConversion"/>
  </si>
  <si>
    <t>Whl</t>
    <phoneticPr fontId="2" type="noConversion"/>
  </si>
  <si>
    <t>不含Whl</t>
    <phoneticPr fontId="2" type="noConversion"/>
  </si>
  <si>
    <t>2025年7月第一周（7/1-7/6）预约人数-0707更新</t>
    <phoneticPr fontId="45" type="noConversion"/>
  </si>
  <si>
    <t>6天日销售目标完成率</t>
    <phoneticPr fontId="45" type="noConversion"/>
  </si>
  <si>
    <t>截至7月6日对比目标缺口</t>
    <phoneticPr fontId="45" type="noConversion"/>
  </si>
  <si>
    <t>本周对比目标</t>
    <phoneticPr fontId="2" type="noConversion"/>
  </si>
  <si>
    <t>本月至今对比目标</t>
    <phoneticPr fontId="2" type="noConversion"/>
  </si>
  <si>
    <t>同比</t>
    <phoneticPr fontId="2" type="noConversion"/>
  </si>
  <si>
    <t>本周目标完成率</t>
    <phoneticPr fontId="2" type="noConversion"/>
  </si>
  <si>
    <r>
      <rPr>
        <i/>
        <sz val="10"/>
        <rFont val="DengXian"/>
        <family val="2"/>
        <charset val="134"/>
      </rPr>
      <t>不含</t>
    </r>
    <r>
      <rPr>
        <i/>
        <sz val="10"/>
        <rFont val="Century Gothic"/>
        <family val="2"/>
      </rPr>
      <t>Whl</t>
    </r>
    <phoneticPr fontId="2" type="noConversion"/>
  </si>
  <si>
    <r>
      <t>Total</t>
    </r>
    <r>
      <rPr>
        <b/>
        <sz val="10"/>
        <rFont val="DengXian"/>
        <family val="2"/>
        <charset val="134"/>
      </rPr>
      <t>（含</t>
    </r>
    <r>
      <rPr>
        <b/>
        <sz val="10"/>
        <rFont val="Century Gothic"/>
        <family val="2"/>
      </rPr>
      <t>Whl</t>
    </r>
    <r>
      <rPr>
        <b/>
        <sz val="10"/>
        <rFont val="DengXian"/>
        <family val="2"/>
        <charset val="134"/>
      </rPr>
      <t>）</t>
    </r>
    <phoneticPr fontId="2" type="noConversion"/>
  </si>
  <si>
    <r>
      <rPr>
        <b/>
        <sz val="10"/>
        <rFont val="DengXian"/>
        <family val="2"/>
        <charset val="134"/>
      </rPr>
      <t>不含</t>
    </r>
    <r>
      <rPr>
        <b/>
        <sz val="10"/>
        <rFont val="Century Gothic"/>
        <family val="2"/>
      </rPr>
      <t>Whl</t>
    </r>
    <phoneticPr fontId="2" type="noConversion"/>
  </si>
  <si>
    <r>
      <t>7/1-7/6</t>
    </r>
    <r>
      <rPr>
        <b/>
        <sz val="10"/>
        <rFont val="DengXian"/>
        <family val="2"/>
        <charset val="134"/>
      </rPr>
      <t>第一周</t>
    </r>
    <phoneticPr fontId="2" type="noConversion"/>
  </si>
  <si>
    <r>
      <t>7/7-7/13</t>
    </r>
    <r>
      <rPr>
        <b/>
        <sz val="10"/>
        <rFont val="DengXian"/>
        <family val="2"/>
        <charset val="134"/>
      </rPr>
      <t>第二周</t>
    </r>
    <phoneticPr fontId="2" type="noConversion"/>
  </si>
  <si>
    <r>
      <t>2024</t>
    </r>
    <r>
      <rPr>
        <b/>
        <sz val="10"/>
        <rFont val="DengXian"/>
        <family val="2"/>
        <charset val="134"/>
      </rPr>
      <t>年</t>
    </r>
    <phoneticPr fontId="2" type="noConversion"/>
  </si>
  <si>
    <r>
      <t>2025</t>
    </r>
    <r>
      <rPr>
        <b/>
        <sz val="10"/>
        <rFont val="DengXian"/>
        <family val="2"/>
        <charset val="134"/>
      </rPr>
      <t>年</t>
    </r>
    <phoneticPr fontId="2" type="noConversion"/>
  </si>
  <si>
    <r>
      <t>vs</t>
    </r>
    <r>
      <rPr>
        <b/>
        <sz val="10"/>
        <rFont val="DengXian"/>
        <family val="2"/>
        <charset val="134"/>
      </rPr>
      <t>目标+/-</t>
    </r>
    <phoneticPr fontId="2" type="noConversion"/>
  </si>
  <si>
    <t>两周目标完成率</t>
    <phoneticPr fontId="2" type="noConversion"/>
  </si>
  <si>
    <t>2025年7月第二周（7/7-7/13）预约人数-0713更新</t>
    <phoneticPr fontId="45" type="noConversion"/>
  </si>
  <si>
    <t>实际消耗人数</t>
    <phoneticPr fontId="45" type="noConversion"/>
  </si>
  <si>
    <t>2025年7月第四周（7/21-7/27)预约到店-0721更新</t>
    <phoneticPr fontId="45" type="noConversion"/>
  </si>
  <si>
    <t>2025年7月第五周（7/28-7/31)预约到店-0721更新</t>
    <phoneticPr fontId="45" type="noConversion"/>
  </si>
  <si>
    <r>
      <t>7/14-7/20</t>
    </r>
    <r>
      <rPr>
        <b/>
        <sz val="10"/>
        <rFont val="DengXian"/>
        <family val="2"/>
        <charset val="134"/>
      </rPr>
      <t>第三周</t>
    </r>
    <phoneticPr fontId="2" type="noConversion"/>
  </si>
  <si>
    <r>
      <t>7/1-7/20</t>
    </r>
    <r>
      <rPr>
        <b/>
        <sz val="10"/>
        <rFont val="DengXian"/>
        <family val="2"/>
        <charset val="134"/>
      </rPr>
      <t>前三周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</si>
  <si>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年8月实际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</si>
  <si>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年8月SRI05</t>
    </r>
    <phoneticPr fontId="2" type="noConversion"/>
  </si>
  <si>
    <t>8月消耗</t>
    <phoneticPr fontId="2" type="noConversion"/>
  </si>
  <si>
    <t>8月开单</t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</si>
  <si>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年8月指标</t>
    </r>
    <phoneticPr fontId="2" type="noConversion"/>
  </si>
  <si>
    <r>
      <t>2025</t>
    </r>
    <r>
      <rPr>
        <b/>
        <sz val="10"/>
        <color theme="1"/>
        <rFont val="DengXian"/>
        <family val="2"/>
        <charset val="134"/>
      </rPr>
      <t>年8月实际（自然月）</t>
    </r>
    <phoneticPr fontId="2" type="noConversion"/>
  </si>
  <si>
    <r>
      <t>2024</t>
    </r>
    <r>
      <rPr>
        <b/>
        <sz val="10"/>
        <color theme="1"/>
        <rFont val="DengXian"/>
        <family val="2"/>
        <charset val="134"/>
      </rPr>
      <t>年8月SRI05</t>
    </r>
    <phoneticPr fontId="2" type="noConversion"/>
  </si>
  <si>
    <r>
      <t>2025</t>
    </r>
    <r>
      <rPr>
        <b/>
        <sz val="10"/>
        <color theme="1"/>
        <rFont val="Microsoft YaHei"/>
        <family val="2"/>
        <charset val="134"/>
      </rPr>
      <t>年8月指标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</si>
</sst>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#,###,"/>
  </numFmts>
  <fonts count="7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0"/>
      <color theme="1"/>
      <name val="等线"/>
    </font>
    <font>
      <i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i/>
      <sz val="10"/>
      <name val="Century Gothic"/>
      <family val="2"/>
    </font>
    <font>
      <b/>
      <sz val="10"/>
      <color theme="0"/>
      <name val="Century Gothic"/>
      <family val="2"/>
    </font>
    <font>
      <b/>
      <sz val="10"/>
      <name val="Century Gothic"/>
      <family val="2"/>
    </font>
    <font>
      <b/>
      <sz val="14"/>
      <color theme="1"/>
      <name val="Century Gothic"/>
      <family val="2"/>
    </font>
    <font>
      <i/>
      <sz val="9"/>
      <color theme="1"/>
      <name val="等线"/>
    </font>
    <font>
      <i/>
      <sz val="9"/>
      <name val="Century Gothic"/>
      <family val="2"/>
    </font>
    <font>
      <i/>
      <sz val="9"/>
      <color theme="1"/>
      <name val="Century Gothic"/>
      <family val="2"/>
    </font>
    <font>
      <i/>
      <sz val="9"/>
      <color theme="1"/>
      <name val="Microsoft YaHei"/>
      <family val="2"/>
      <charset val="134"/>
    </font>
    <font>
      <b/>
      <sz val="10"/>
      <color theme="1"/>
      <name val="DengXian"/>
      <family val="2"/>
      <charset val="134"/>
    </font>
    <font>
      <sz val="10"/>
      <color theme="1"/>
      <name val="DengXian"/>
      <family val="2"/>
      <charset val="134"/>
    </font>
    <font>
      <sz val="10"/>
      <color theme="1"/>
      <name val="Century Gothic"/>
      <family val="2"/>
      <charset val="134"/>
    </font>
    <font>
      <b/>
      <sz val="14"/>
      <color theme="1"/>
      <name val="DengXian"/>
      <family val="2"/>
      <charset val="134"/>
    </font>
    <font>
      <b/>
      <sz val="10"/>
      <color theme="0"/>
      <name val="DengXian"/>
      <family val="2"/>
      <charset val="134"/>
    </font>
    <font>
      <b/>
      <sz val="10"/>
      <color theme="0"/>
      <name val="Century Gothic"/>
      <family val="2"/>
      <charset val="134"/>
    </font>
    <font>
      <i/>
      <sz val="9"/>
      <color theme="1"/>
      <name val="等线"/>
      <family val="2"/>
      <charset val="134"/>
    </font>
    <font>
      <b/>
      <sz val="14"/>
      <color theme="1"/>
      <name val="Century Gothic"/>
      <family val="2"/>
      <charset val="134"/>
    </font>
    <font>
      <i/>
      <sz val="10"/>
      <color rgb="FFFF0000"/>
      <name val="Century Gothic"/>
      <family val="2"/>
    </font>
    <font>
      <sz val="16"/>
      <color rgb="FFFF0000"/>
      <name val="等线"/>
      <family val="2"/>
      <scheme val="minor"/>
    </font>
    <font>
      <b/>
      <sz val="10"/>
      <color theme="0" tint="-0.34998626667073579"/>
      <name val="Century Gothic"/>
      <family val="2"/>
    </font>
    <font>
      <b/>
      <sz val="10"/>
      <color theme="0" tint="-0.34998626667073579"/>
      <name val="DengXian"/>
      <family val="2"/>
      <charset val="134"/>
    </font>
    <font>
      <i/>
      <sz val="10"/>
      <color theme="0" tint="-0.34998626667073579"/>
      <name val="Century Gothic"/>
      <family val="2"/>
    </font>
    <font>
      <i/>
      <sz val="9"/>
      <color theme="0" tint="-0.34998626667073579"/>
      <name val="Century Gothic"/>
      <family val="2"/>
    </font>
    <font>
      <b/>
      <sz val="10"/>
      <color theme="1"/>
      <name val="DengXian"/>
      <family val="2"/>
    </font>
    <font>
      <sz val="14"/>
      <color theme="1"/>
      <name val="等线"/>
      <scheme val="minor"/>
    </font>
    <font>
      <b/>
      <sz val="10"/>
      <color theme="0" tint="-0.249977111117893"/>
      <name val="Century Gothic"/>
      <family val="2"/>
    </font>
    <font>
      <b/>
      <sz val="10"/>
      <color theme="0" tint="-0.249977111117893"/>
      <name val="DengXian"/>
      <family val="2"/>
      <charset val="134"/>
    </font>
    <font>
      <i/>
      <sz val="10"/>
      <color theme="0" tint="-0.249977111117893"/>
      <name val="Century Gothic"/>
      <family val="2"/>
    </font>
    <font>
      <i/>
      <sz val="9"/>
      <color theme="0" tint="-0.249977111117893"/>
      <name val="Century Gothic"/>
      <family val="2"/>
    </font>
    <font>
      <b/>
      <i/>
      <sz val="10"/>
      <color theme="0" tint="-0.249977111117893"/>
      <name val="Century Gothic"/>
      <family val="2"/>
    </font>
    <font>
      <b/>
      <sz val="10"/>
      <name val="DengXian"/>
      <family val="2"/>
      <charset val="134"/>
    </font>
    <font>
      <b/>
      <i/>
      <sz val="10"/>
      <color theme="0" tint="-0.34998626667073579"/>
      <name val="Century Gothic"/>
      <family val="2"/>
    </font>
    <font>
      <b/>
      <sz val="10"/>
      <color rgb="FFC00000"/>
      <name val="Century Gothic"/>
      <family val="2"/>
      <charset val="134"/>
    </font>
    <font>
      <b/>
      <sz val="10"/>
      <color rgb="FFC00000"/>
      <name val="Century Gothic"/>
      <family val="2"/>
    </font>
    <font>
      <b/>
      <sz val="10"/>
      <color theme="0" tint="-0.34998626667073579"/>
      <name val="DengXian"/>
      <family val="3"/>
      <charset val="134"/>
    </font>
    <font>
      <b/>
      <sz val="10"/>
      <color theme="1"/>
      <name val="Microsoft YaHei"/>
      <family val="2"/>
      <charset val="134"/>
    </font>
    <font>
      <sz val="11"/>
      <name val="等线"/>
    </font>
    <font>
      <b/>
      <sz val="18"/>
      <name val="等线"/>
    </font>
    <font>
      <sz val="9"/>
      <name val="DengXian"/>
      <family val="3"/>
      <charset val="134"/>
    </font>
    <font>
      <b/>
      <sz val="11"/>
      <name val="等线"/>
    </font>
    <font>
      <b/>
      <sz val="14"/>
      <color rgb="FFFF0000"/>
      <name val="等线"/>
    </font>
    <font>
      <b/>
      <sz val="16"/>
      <color rgb="FFFF0000"/>
      <name val="等线"/>
    </font>
    <font>
      <b/>
      <sz val="12"/>
      <name val="等线"/>
    </font>
    <font>
      <sz val="12"/>
      <name val="等线"/>
    </font>
    <font>
      <sz val="11"/>
      <color theme="0"/>
      <name val="等线"/>
    </font>
    <font>
      <b/>
      <sz val="18"/>
      <color theme="0" tint="-0.499984740745262"/>
      <name val="等线"/>
    </font>
    <font>
      <sz val="11"/>
      <color theme="0" tint="-0.499984740745262"/>
      <name val="等线"/>
    </font>
    <font>
      <b/>
      <sz val="11"/>
      <color theme="0" tint="-0.499984740745262"/>
      <name val="等线"/>
    </font>
    <font>
      <sz val="10"/>
      <color theme="1"/>
      <name val="等线"/>
      <family val="3"/>
      <charset val="134"/>
    </font>
    <font>
      <b/>
      <sz val="11"/>
      <color rgb="FFFF0000"/>
      <name val="等线"/>
    </font>
    <font>
      <b/>
      <sz val="11"/>
      <color rgb="FF00B050"/>
      <name val="等线"/>
    </font>
    <font>
      <sz val="10"/>
      <color theme="1"/>
      <name val="等线"/>
    </font>
    <font>
      <b/>
      <sz val="12"/>
      <color rgb="FFFF0000"/>
      <name val="等线"/>
    </font>
    <font>
      <b/>
      <sz val="12"/>
      <color rgb="FF00B050"/>
      <name val="等线"/>
    </font>
    <font>
      <sz val="11"/>
      <color theme="0" tint="-0.34998626667073579"/>
      <name val="等线"/>
    </font>
    <font>
      <b/>
      <sz val="14"/>
      <color rgb="FF00B050"/>
      <name val="等线"/>
    </font>
    <font>
      <b/>
      <sz val="10"/>
      <color theme="1"/>
      <name val="等线"/>
    </font>
    <font>
      <i/>
      <sz val="10"/>
      <name val="Century Gothic"/>
      <family val="2"/>
      <charset val="134"/>
    </font>
    <font>
      <i/>
      <sz val="10"/>
      <name val="DengXian"/>
      <family val="2"/>
      <charset val="134"/>
    </font>
    <font>
      <sz val="10"/>
      <name val="Century Gothic"/>
      <family val="2"/>
    </font>
    <font>
      <sz val="9"/>
      <name val="Century Gothic"/>
      <family val="2"/>
    </font>
    <font>
      <b/>
      <sz val="10"/>
      <name val="Century Gothic"/>
      <family val="2"/>
      <charset val="134"/>
    </font>
    <font>
      <b/>
      <i/>
      <sz val="10"/>
      <color rgb="FF00B050"/>
      <name val="Century Gothic"/>
      <family val="2"/>
    </font>
    <font>
      <b/>
      <sz val="10"/>
      <color rgb="FF00B050"/>
      <name val="Century Gothic"/>
      <family val="2"/>
    </font>
    <font>
      <b/>
      <sz val="10"/>
      <color rgb="FFFF0000"/>
      <name val="Century Gothic"/>
      <family val="2"/>
    </font>
    <font>
      <b/>
      <i/>
      <sz val="10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C5A96"/>
        <bgColor indexed="64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indexed="64"/>
      </bottom>
      <diagonal/>
    </border>
    <border>
      <left/>
      <right style="thin">
        <color auto="1"/>
      </right>
      <top style="dotted">
        <color auto="1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>
      <alignment vertical="center"/>
    </xf>
  </cellStyleXfs>
  <cellXfs count="472">
    <xf numFmtId="0" fontId="0" fillId="0" borderId="0" xfId="0"/>
    <xf numFmtId="0" fontId="6" fillId="2" borderId="0" xfId="0" applyFont="1" applyFill="1" applyBorder="1"/>
    <xf numFmtId="0" fontId="4" fillId="2" borderId="0" xfId="0" applyFont="1" applyFill="1" applyBorder="1"/>
    <xf numFmtId="0" fontId="4" fillId="2" borderId="3" xfId="0" applyFont="1" applyFill="1" applyBorder="1" applyAlignment="1">
      <alignment horizontal="left" indent="1"/>
    </xf>
    <xf numFmtId="0" fontId="4" fillId="2" borderId="4" xfId="0" applyFont="1" applyFill="1" applyBorder="1"/>
    <xf numFmtId="0" fontId="6" fillId="0" borderId="0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9" fontId="4" fillId="0" borderId="4" xfId="2" quotePrefix="1" applyFont="1" applyBorder="1" applyAlignment="1">
      <alignment vertical="center"/>
    </xf>
    <xf numFmtId="9" fontId="4" fillId="0" borderId="4" xfId="2" quotePrefix="1" applyFont="1" applyBorder="1" applyAlignment="1"/>
    <xf numFmtId="0" fontId="4" fillId="2" borderId="8" xfId="0" applyFont="1" applyFill="1" applyBorder="1"/>
    <xf numFmtId="0" fontId="4" fillId="2" borderId="8" xfId="0" applyFont="1" applyFill="1" applyBorder="1" applyAlignment="1">
      <alignment horizontal="left" indent="1"/>
    </xf>
    <xf numFmtId="0" fontId="4" fillId="2" borderId="9" xfId="0" applyFont="1" applyFill="1" applyBorder="1" applyAlignment="1">
      <alignment horizontal="left" indent="1"/>
    </xf>
    <xf numFmtId="0" fontId="4" fillId="2" borderId="7" xfId="0" applyFont="1" applyFill="1" applyBorder="1"/>
    <xf numFmtId="3" fontId="4" fillId="2" borderId="3" xfId="0" quotePrefix="1" applyNumberFormat="1" applyFont="1" applyFill="1" applyBorder="1" applyAlignment="1">
      <alignment vertical="center"/>
    </xf>
    <xf numFmtId="3" fontId="4" fillId="2" borderId="5" xfId="0" quotePrefix="1" applyNumberFormat="1" applyFont="1" applyFill="1" applyBorder="1" applyAlignment="1">
      <alignment vertical="center"/>
    </xf>
    <xf numFmtId="9" fontId="4" fillId="0" borderId="7" xfId="2" quotePrefix="1" applyFont="1" applyBorder="1" applyAlignment="1"/>
    <xf numFmtId="176" fontId="8" fillId="0" borderId="5" xfId="1" applyNumberFormat="1" applyFont="1" applyFill="1" applyBorder="1" applyAlignment="1">
      <alignment horizontal="center" vertical="center"/>
    </xf>
    <xf numFmtId="9" fontId="4" fillId="0" borderId="7" xfId="2" quotePrefix="1" applyFont="1" applyBorder="1" applyAlignment="1">
      <alignment vertical="center"/>
    </xf>
    <xf numFmtId="177" fontId="9" fillId="3" borderId="5" xfId="0" applyNumberFormat="1" applyFont="1" applyFill="1" applyBorder="1" applyAlignment="1">
      <alignment horizontal="left" vertical="center"/>
    </xf>
    <xf numFmtId="177" fontId="9" fillId="3" borderId="9" xfId="0" applyNumberFormat="1" applyFont="1" applyFill="1" applyBorder="1" applyAlignment="1">
      <alignment horizontal="left" vertical="center"/>
    </xf>
    <xf numFmtId="176" fontId="9" fillId="3" borderId="5" xfId="1" applyNumberFormat="1" applyFont="1" applyFill="1" applyBorder="1" applyAlignment="1">
      <alignment horizontal="center" vertical="center"/>
    </xf>
    <xf numFmtId="9" fontId="9" fillId="3" borderId="6" xfId="2" applyFont="1" applyFill="1" applyBorder="1" applyAlignment="1">
      <alignment vertical="center"/>
    </xf>
    <xf numFmtId="9" fontId="9" fillId="3" borderId="7" xfId="2" applyFont="1" applyFill="1" applyBorder="1" applyAlignment="1">
      <alignment horizontal="right" vertical="center"/>
    </xf>
    <xf numFmtId="177" fontId="6" fillId="4" borderId="3" xfId="0" applyNumberFormat="1" applyFont="1" applyFill="1" applyBorder="1" applyAlignment="1">
      <alignment horizontal="left" vertical="center" indent="1"/>
    </xf>
    <xf numFmtId="177" fontId="6" fillId="4" borderId="8" xfId="0" applyNumberFormat="1" applyFont="1" applyFill="1" applyBorder="1" applyAlignment="1">
      <alignment horizontal="left" vertical="center" indent="1"/>
    </xf>
    <xf numFmtId="176" fontId="10" fillId="4" borderId="3" xfId="1" applyNumberFormat="1" applyFont="1" applyFill="1" applyBorder="1" applyAlignment="1">
      <alignment horizontal="center" vertical="center"/>
    </xf>
    <xf numFmtId="9" fontId="6" fillId="4" borderId="2" xfId="2" applyFont="1" applyFill="1" applyBorder="1" applyAlignment="1">
      <alignment vertical="center"/>
    </xf>
    <xf numFmtId="9" fontId="6" fillId="4" borderId="4" xfId="2" applyFont="1" applyFill="1" applyBorder="1" applyAlignment="1">
      <alignment vertical="center"/>
    </xf>
    <xf numFmtId="177" fontId="6" fillId="4" borderId="4" xfId="0" applyNumberFormat="1" applyFont="1" applyFill="1" applyBorder="1" applyAlignment="1">
      <alignment horizontal="left" vertical="center" indent="1"/>
    </xf>
    <xf numFmtId="9" fontId="7" fillId="4" borderId="4" xfId="2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/>
    <xf numFmtId="9" fontId="6" fillId="0" borderId="0" xfId="0" applyNumberFormat="1" applyFont="1"/>
    <xf numFmtId="0" fontId="4" fillId="2" borderId="0" xfId="0" applyFont="1" applyFill="1" applyBorder="1" applyAlignment="1">
      <alignment horizontal="left" indent="1"/>
    </xf>
    <xf numFmtId="9" fontId="4" fillId="0" borderId="0" xfId="2" quotePrefix="1" applyFont="1" applyBorder="1" applyAlignment="1"/>
    <xf numFmtId="176" fontId="8" fillId="0" borderId="0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indent="1"/>
    </xf>
    <xf numFmtId="0" fontId="12" fillId="2" borderId="8" xfId="0" applyFont="1" applyFill="1" applyBorder="1" applyAlignment="1">
      <alignment horizontal="left" indent="2"/>
    </xf>
    <xf numFmtId="176" fontId="13" fillId="0" borderId="3" xfId="1" applyNumberFormat="1" applyFont="1" applyFill="1" applyBorder="1" applyAlignment="1">
      <alignment horizontal="center" vertical="center"/>
    </xf>
    <xf numFmtId="9" fontId="14" fillId="0" borderId="4" xfId="2" quotePrefix="1" applyFont="1" applyBorder="1" applyAlignment="1"/>
    <xf numFmtId="3" fontId="6" fillId="2" borderId="0" xfId="0" quotePrefix="1" applyNumberFormat="1" applyFont="1" applyFill="1" applyBorder="1" applyAlignment="1">
      <alignment vertical="center"/>
    </xf>
    <xf numFmtId="9" fontId="6" fillId="0" borderId="0" xfId="2" quotePrefix="1" applyFont="1" applyBorder="1" applyAlignment="1"/>
    <xf numFmtId="176" fontId="10" fillId="0" borderId="0" xfId="1" applyNumberFormat="1" applyFont="1" applyFill="1" applyBorder="1" applyAlignment="1">
      <alignment horizontal="center" vertical="center"/>
    </xf>
    <xf numFmtId="9" fontId="6" fillId="0" borderId="0" xfId="2" quotePrefix="1" applyFont="1" applyBorder="1" applyAlignment="1">
      <alignment vertical="center"/>
    </xf>
    <xf numFmtId="0" fontId="5" fillId="0" borderId="0" xfId="0" applyFont="1" applyBorder="1"/>
    <xf numFmtId="0" fontId="12" fillId="2" borderId="0" xfId="0" applyFont="1" applyFill="1" applyBorder="1" applyAlignment="1">
      <alignment horizontal="left" indent="2"/>
    </xf>
    <xf numFmtId="176" fontId="13" fillId="0" borderId="0" xfId="1" applyNumberFormat="1" applyFont="1" applyFill="1" applyBorder="1" applyAlignment="1">
      <alignment horizontal="center" vertical="center"/>
    </xf>
    <xf numFmtId="9" fontId="14" fillId="0" borderId="0" xfId="2" quotePrefix="1" applyFont="1" applyBorder="1" applyAlignment="1"/>
    <xf numFmtId="9" fontId="9" fillId="3" borderId="5" xfId="2" applyFont="1" applyFill="1" applyBorder="1" applyAlignment="1">
      <alignment horizontal="right" vertical="center"/>
    </xf>
    <xf numFmtId="9" fontId="9" fillId="3" borderId="7" xfId="2" applyFont="1" applyFill="1" applyBorder="1" applyAlignment="1">
      <alignment vertical="center"/>
    </xf>
    <xf numFmtId="9" fontId="10" fillId="4" borderId="3" xfId="2" applyFont="1" applyFill="1" applyBorder="1" applyAlignment="1">
      <alignment horizontal="right" vertical="center"/>
    </xf>
    <xf numFmtId="9" fontId="8" fillId="0" borderId="3" xfId="2" applyFont="1" applyFill="1" applyBorder="1" applyAlignment="1">
      <alignment horizontal="right" vertical="center"/>
    </xf>
    <xf numFmtId="9" fontId="13" fillId="0" borderId="3" xfId="2" applyFont="1" applyFill="1" applyBorder="1" applyAlignment="1">
      <alignment horizontal="right" vertical="center"/>
    </xf>
    <xf numFmtId="9" fontId="4" fillId="2" borderId="3" xfId="2" quotePrefix="1" applyFont="1" applyFill="1" applyBorder="1" applyAlignment="1">
      <alignment horizontal="right" vertical="center"/>
    </xf>
    <xf numFmtId="9" fontId="4" fillId="2" borderId="5" xfId="2" quotePrefix="1" applyFont="1" applyFill="1" applyBorder="1" applyAlignment="1">
      <alignment horizontal="right" vertical="center"/>
    </xf>
    <xf numFmtId="9" fontId="6" fillId="2" borderId="0" xfId="2" quotePrefix="1" applyFont="1" applyFill="1" applyBorder="1" applyAlignment="1">
      <alignment horizontal="right" vertical="center"/>
    </xf>
    <xf numFmtId="43" fontId="5" fillId="0" borderId="0" xfId="0" applyNumberFormat="1" applyFont="1"/>
    <xf numFmtId="9" fontId="5" fillId="0" borderId="0" xfId="2" applyFont="1" applyAlignment="1"/>
    <xf numFmtId="9" fontId="5" fillId="0" borderId="0" xfId="0" applyNumberFormat="1" applyFont="1"/>
    <xf numFmtId="9" fontId="6" fillId="4" borderId="0" xfId="2" applyFont="1" applyFill="1" applyBorder="1" applyAlignment="1">
      <alignment vertical="center"/>
    </xf>
    <xf numFmtId="9" fontId="4" fillId="0" borderId="0" xfId="2" quotePrefix="1" applyFont="1" applyBorder="1" applyAlignment="1">
      <alignment vertical="center"/>
    </xf>
    <xf numFmtId="9" fontId="7" fillId="4" borderId="0" xfId="2" applyFont="1" applyFill="1" applyBorder="1" applyAlignment="1">
      <alignment vertical="center"/>
    </xf>
    <xf numFmtId="9" fontId="4" fillId="0" borderId="6" xfId="2" quotePrefix="1" applyFont="1" applyBorder="1" applyAlignment="1">
      <alignment vertical="center"/>
    </xf>
    <xf numFmtId="9" fontId="0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9" fontId="18" fillId="0" borderId="0" xfId="2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9" fillId="0" borderId="0" xfId="0" applyFont="1"/>
    <xf numFmtId="177" fontId="21" fillId="3" borderId="5" xfId="0" applyNumberFormat="1" applyFont="1" applyFill="1" applyBorder="1" applyAlignment="1">
      <alignment horizontal="left" vertical="center"/>
    </xf>
    <xf numFmtId="177" fontId="16" fillId="4" borderId="3" xfId="0" applyNumberFormat="1" applyFont="1" applyFill="1" applyBorder="1" applyAlignment="1">
      <alignment horizontal="left" vertical="center" indent="1"/>
    </xf>
    <xf numFmtId="177" fontId="16" fillId="4" borderId="8" xfId="0" applyNumberFormat="1" applyFont="1" applyFill="1" applyBorder="1" applyAlignment="1">
      <alignment horizontal="left" vertical="center" indent="1"/>
    </xf>
    <xf numFmtId="0" fontId="16" fillId="0" borderId="4" xfId="0" applyFont="1" applyBorder="1" applyAlignment="1">
      <alignment horizontal="center" vertical="center"/>
    </xf>
    <xf numFmtId="0" fontId="22" fillId="2" borderId="8" xfId="0" applyFont="1" applyFill="1" applyBorder="1" applyAlignment="1">
      <alignment horizontal="left" indent="2"/>
    </xf>
    <xf numFmtId="9" fontId="9" fillId="3" borderId="7" xfId="2" applyNumberFormat="1" applyFont="1" applyFill="1" applyBorder="1" applyAlignment="1">
      <alignment horizontal="right" vertical="center"/>
    </xf>
    <xf numFmtId="9" fontId="6" fillId="4" borderId="4" xfId="2" applyNumberFormat="1" applyFont="1" applyFill="1" applyBorder="1" applyAlignment="1">
      <alignment vertical="center"/>
    </xf>
    <xf numFmtId="9" fontId="4" fillId="0" borderId="4" xfId="2" quotePrefix="1" applyNumberFormat="1" applyFont="1" applyBorder="1" applyAlignment="1">
      <alignment vertical="center"/>
    </xf>
    <xf numFmtId="9" fontId="4" fillId="0" borderId="4" xfId="2" quotePrefix="1" applyNumberFormat="1" applyFont="1" applyBorder="1" applyAlignment="1"/>
    <xf numFmtId="9" fontId="7" fillId="4" borderId="4" xfId="2" applyNumberFormat="1" applyFont="1" applyFill="1" applyBorder="1" applyAlignment="1">
      <alignment vertical="center"/>
    </xf>
    <xf numFmtId="9" fontId="4" fillId="0" borderId="7" xfId="2" quotePrefix="1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/>
    </xf>
    <xf numFmtId="0" fontId="16" fillId="0" borderId="5" xfId="0" applyFont="1" applyBorder="1" applyAlignment="1">
      <alignment horizontal="center" vertical="center"/>
    </xf>
    <xf numFmtId="0" fontId="23" fillId="0" borderId="0" xfId="0" applyFont="1"/>
    <xf numFmtId="0" fontId="16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9" fillId="5" borderId="0" xfId="0" applyFont="1" applyFill="1"/>
    <xf numFmtId="0" fontId="0" fillId="5" borderId="0" xfId="0" applyFill="1"/>
    <xf numFmtId="0" fontId="16" fillId="5" borderId="3" xfId="0" applyFont="1" applyFill="1" applyBorder="1" applyAlignment="1">
      <alignment horizontal="center" vertical="center"/>
    </xf>
    <xf numFmtId="176" fontId="24" fillId="0" borderId="3" xfId="1" applyNumberFormat="1" applyFont="1" applyFill="1" applyBorder="1" applyAlignment="1">
      <alignment horizontal="center" vertical="center"/>
    </xf>
    <xf numFmtId="0" fontId="25" fillId="0" borderId="0" xfId="0" applyFont="1"/>
    <xf numFmtId="176" fontId="5" fillId="0" borderId="0" xfId="0" applyNumberFormat="1" applyFont="1" applyAlignment="1">
      <alignment vertical="center"/>
    </xf>
    <xf numFmtId="9" fontId="5" fillId="0" borderId="0" xfId="2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26" fillId="3" borderId="5" xfId="1" applyNumberFormat="1" applyFont="1" applyFill="1" applyBorder="1" applyAlignment="1">
      <alignment horizontal="center" vertical="center"/>
    </xf>
    <xf numFmtId="9" fontId="26" fillId="3" borderId="7" xfId="2" applyFont="1" applyFill="1" applyBorder="1" applyAlignment="1">
      <alignment horizontal="right" vertical="center"/>
    </xf>
    <xf numFmtId="176" fontId="26" fillId="4" borderId="3" xfId="1" applyNumberFormat="1" applyFont="1" applyFill="1" applyBorder="1" applyAlignment="1">
      <alignment horizontal="center" vertical="center"/>
    </xf>
    <xf numFmtId="9" fontId="26" fillId="4" borderId="4" xfId="2" applyFont="1" applyFill="1" applyBorder="1" applyAlignment="1">
      <alignment vertical="center"/>
    </xf>
    <xf numFmtId="176" fontId="28" fillId="0" borderId="3" xfId="1" applyNumberFormat="1" applyFont="1" applyFill="1" applyBorder="1" applyAlignment="1">
      <alignment horizontal="center" vertical="center"/>
    </xf>
    <xf numFmtId="176" fontId="28" fillId="0" borderId="5" xfId="1" applyNumberFormat="1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9" fontId="28" fillId="0" borderId="4" xfId="2" quotePrefix="1" applyFont="1" applyFill="1" applyBorder="1" applyAlignment="1">
      <alignment vertical="center"/>
    </xf>
    <xf numFmtId="9" fontId="28" fillId="0" borderId="4" xfId="2" quotePrefix="1" applyFont="1" applyFill="1" applyBorder="1" applyAlignment="1"/>
    <xf numFmtId="9" fontId="28" fillId="0" borderId="7" xfId="2" quotePrefix="1" applyFont="1" applyFill="1" applyBorder="1" applyAlignment="1">
      <alignment vertical="center"/>
    </xf>
    <xf numFmtId="3" fontId="26" fillId="0" borderId="0" xfId="0" quotePrefix="1" applyNumberFormat="1" applyFont="1" applyFill="1" applyBorder="1" applyAlignment="1">
      <alignment vertical="center"/>
    </xf>
    <xf numFmtId="9" fontId="26" fillId="0" borderId="0" xfId="2" quotePrefix="1" applyFont="1" applyFill="1" applyBorder="1" applyAlignment="1">
      <alignment vertical="center"/>
    </xf>
    <xf numFmtId="0" fontId="5" fillId="0" borderId="0" xfId="0" applyFont="1" applyFill="1"/>
    <xf numFmtId="0" fontId="0" fillId="0" borderId="0" xfId="0" applyFill="1"/>
    <xf numFmtId="9" fontId="4" fillId="0" borderId="4" xfId="2" quotePrefix="1" applyFont="1" applyFill="1" applyBorder="1" applyAlignment="1">
      <alignment vertical="center"/>
    </xf>
    <xf numFmtId="9" fontId="4" fillId="0" borderId="4" xfId="2" quotePrefix="1" applyFont="1" applyFill="1" applyBorder="1" applyAlignment="1"/>
    <xf numFmtId="9" fontId="4" fillId="0" borderId="7" xfId="2" quotePrefix="1" applyFont="1" applyFill="1" applyBorder="1" applyAlignment="1">
      <alignment vertical="center"/>
    </xf>
    <xf numFmtId="3" fontId="6" fillId="0" borderId="0" xfId="0" quotePrefix="1" applyNumberFormat="1" applyFont="1" applyFill="1" applyBorder="1" applyAlignment="1">
      <alignment vertical="center"/>
    </xf>
    <xf numFmtId="9" fontId="6" fillId="0" borderId="0" xfId="2" quotePrefix="1" applyFont="1" applyFill="1" applyBorder="1" applyAlignment="1">
      <alignment vertical="center"/>
    </xf>
    <xf numFmtId="9" fontId="26" fillId="4" borderId="2" xfId="2" applyFont="1" applyFill="1" applyBorder="1" applyAlignment="1">
      <alignment vertical="center"/>
    </xf>
    <xf numFmtId="176" fontId="29" fillId="0" borderId="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2" borderId="0" xfId="0" applyFont="1" applyFill="1"/>
    <xf numFmtId="3" fontId="6" fillId="2" borderId="0" xfId="0" quotePrefix="1" applyNumberFormat="1" applyFont="1" applyFill="1" applyAlignment="1">
      <alignment vertical="center"/>
    </xf>
    <xf numFmtId="0" fontId="16" fillId="0" borderId="0" xfId="0" applyFont="1" applyAlignment="1">
      <alignment horizontal="left"/>
    </xf>
    <xf numFmtId="9" fontId="17" fillId="0" borderId="0" xfId="2" applyFont="1" applyAlignment="1">
      <alignment horizontal="center" wrapText="1"/>
    </xf>
    <xf numFmtId="0" fontId="33" fillId="0" borderId="3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9" fontId="32" fillId="3" borderId="5" xfId="2" applyFont="1" applyFill="1" applyBorder="1" applyAlignment="1">
      <alignment horizontal="right" vertical="center"/>
    </xf>
    <xf numFmtId="9" fontId="32" fillId="3" borderId="6" xfId="2" applyFont="1" applyFill="1" applyBorder="1" applyAlignment="1">
      <alignment vertical="center"/>
    </xf>
    <xf numFmtId="9" fontId="32" fillId="4" borderId="3" xfId="2" applyFont="1" applyFill="1" applyBorder="1" applyAlignment="1">
      <alignment horizontal="right" vertical="center"/>
    </xf>
    <xf numFmtId="9" fontId="32" fillId="4" borderId="0" xfId="2" applyFont="1" applyFill="1" applyBorder="1" applyAlignment="1">
      <alignment vertical="center"/>
    </xf>
    <xf numFmtId="9" fontId="34" fillId="0" borderId="3" xfId="2" applyFont="1" applyFill="1" applyBorder="1" applyAlignment="1">
      <alignment horizontal="right" vertical="center"/>
    </xf>
    <xf numFmtId="9" fontId="34" fillId="0" borderId="0" xfId="2" quotePrefix="1" applyFont="1" applyBorder="1" applyAlignment="1">
      <alignment vertical="center"/>
    </xf>
    <xf numFmtId="9" fontId="34" fillId="0" borderId="0" xfId="2" quotePrefix="1" applyFont="1" applyBorder="1" applyAlignment="1"/>
    <xf numFmtId="9" fontId="35" fillId="0" borderId="3" xfId="2" applyFont="1" applyFill="1" applyBorder="1" applyAlignment="1">
      <alignment horizontal="right" vertical="center"/>
    </xf>
    <xf numFmtId="9" fontId="35" fillId="0" borderId="0" xfId="2" quotePrefix="1" applyFont="1" applyBorder="1" applyAlignment="1"/>
    <xf numFmtId="9" fontId="36" fillId="4" borderId="0" xfId="2" applyFont="1" applyFill="1" applyBorder="1" applyAlignment="1">
      <alignment vertical="center"/>
    </xf>
    <xf numFmtId="9" fontId="34" fillId="2" borderId="3" xfId="2" quotePrefix="1" applyFont="1" applyFill="1" applyBorder="1" applyAlignment="1">
      <alignment horizontal="right" vertical="center"/>
    </xf>
    <xf numFmtId="9" fontId="34" fillId="2" borderId="5" xfId="2" quotePrefix="1" applyFont="1" applyFill="1" applyBorder="1" applyAlignment="1">
      <alignment horizontal="right" vertical="center"/>
    </xf>
    <xf numFmtId="9" fontId="34" fillId="0" borderId="6" xfId="2" quotePrefix="1" applyFont="1" applyBorder="1" applyAlignment="1">
      <alignment vertical="center"/>
    </xf>
    <xf numFmtId="9" fontId="32" fillId="2" borderId="0" xfId="2" quotePrefix="1" applyFont="1" applyFill="1" applyBorder="1" applyAlignment="1">
      <alignment horizontal="right" vertical="center"/>
    </xf>
    <xf numFmtId="9" fontId="32" fillId="0" borderId="0" xfId="2" quotePrefix="1" applyFont="1" applyBorder="1" applyAlignment="1">
      <alignment vertical="center"/>
    </xf>
    <xf numFmtId="9" fontId="9" fillId="3" borderId="4" xfId="2" applyFont="1" applyFill="1" applyBorder="1" applyAlignment="1">
      <alignment vertical="center"/>
    </xf>
    <xf numFmtId="176" fontId="4" fillId="2" borderId="5" xfId="0" quotePrefix="1" applyNumberFormat="1" applyFont="1" applyFill="1" applyBorder="1" applyAlignment="1">
      <alignment vertical="center"/>
    </xf>
    <xf numFmtId="9" fontId="4" fillId="0" borderId="6" xfId="2" quotePrefix="1" applyFont="1" applyBorder="1" applyAlignment="1"/>
    <xf numFmtId="176" fontId="32" fillId="3" borderId="5" xfId="1" applyNumberFormat="1" applyFont="1" applyFill="1" applyBorder="1" applyAlignment="1">
      <alignment horizontal="center" vertical="center"/>
    </xf>
    <xf numFmtId="9" fontId="32" fillId="3" borderId="7" xfId="2" applyFont="1" applyFill="1" applyBorder="1" applyAlignment="1">
      <alignment horizontal="right" vertical="center"/>
    </xf>
    <xf numFmtId="176" fontId="32" fillId="4" borderId="3" xfId="1" applyNumberFormat="1" applyFont="1" applyFill="1" applyBorder="1" applyAlignment="1">
      <alignment horizontal="center" vertical="center"/>
    </xf>
    <xf numFmtId="9" fontId="32" fillId="4" borderId="4" xfId="2" applyFont="1" applyFill="1" applyBorder="1" applyAlignment="1">
      <alignment vertical="center"/>
    </xf>
    <xf numFmtId="176" fontId="34" fillId="0" borderId="3" xfId="1" applyNumberFormat="1" applyFont="1" applyFill="1" applyBorder="1" applyAlignment="1">
      <alignment horizontal="center" vertical="center"/>
    </xf>
    <xf numFmtId="9" fontId="34" fillId="0" borderId="4" xfId="2" quotePrefix="1" applyFont="1" applyBorder="1" applyAlignment="1">
      <alignment vertical="center"/>
    </xf>
    <xf numFmtId="9" fontId="34" fillId="0" borderId="4" xfId="2" quotePrefix="1" applyFont="1" applyBorder="1" applyAlignment="1"/>
    <xf numFmtId="9" fontId="36" fillId="4" borderId="4" xfId="2" applyFont="1" applyFill="1" applyBorder="1" applyAlignment="1">
      <alignment vertical="center"/>
    </xf>
    <xf numFmtId="3" fontId="34" fillId="2" borderId="5" xfId="0" quotePrefix="1" applyNumberFormat="1" applyFont="1" applyFill="1" applyBorder="1" applyAlignment="1">
      <alignment vertical="center"/>
    </xf>
    <xf numFmtId="9" fontId="34" fillId="0" borderId="7" xfId="2" quotePrefix="1" applyFont="1" applyBorder="1" applyAlignment="1">
      <alignment vertical="center"/>
    </xf>
    <xf numFmtId="3" fontId="32" fillId="2" borderId="0" xfId="0" quotePrefix="1" applyNumberFormat="1" applyFont="1" applyFill="1" applyBorder="1" applyAlignment="1">
      <alignment vertical="center"/>
    </xf>
    <xf numFmtId="0" fontId="33" fillId="0" borderId="5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/>
    </xf>
    <xf numFmtId="0" fontId="31" fillId="0" borderId="6" xfId="0" applyFont="1" applyBorder="1" applyAlignment="1"/>
    <xf numFmtId="0" fontId="37" fillId="5" borderId="5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9" fontId="28" fillId="0" borderId="4" xfId="2" quotePrefix="1" applyFont="1" applyBorder="1" applyAlignment="1">
      <alignment vertical="center"/>
    </xf>
    <xf numFmtId="9" fontId="28" fillId="0" borderId="4" xfId="2" quotePrefix="1" applyFont="1" applyBorder="1" applyAlignment="1"/>
    <xf numFmtId="9" fontId="38" fillId="4" borderId="4" xfId="2" applyFont="1" applyFill="1" applyBorder="1" applyAlignment="1">
      <alignment vertical="center"/>
    </xf>
    <xf numFmtId="3" fontId="28" fillId="2" borderId="3" xfId="0" quotePrefix="1" applyNumberFormat="1" applyFont="1" applyFill="1" applyBorder="1" applyAlignment="1">
      <alignment vertical="center"/>
    </xf>
    <xf numFmtId="3" fontId="28" fillId="2" borderId="5" xfId="0" quotePrefix="1" applyNumberFormat="1" applyFont="1" applyFill="1" applyBorder="1" applyAlignment="1">
      <alignment vertical="center"/>
    </xf>
    <xf numFmtId="9" fontId="28" fillId="0" borderId="7" xfId="2" quotePrefix="1" applyFont="1" applyBorder="1" applyAlignment="1">
      <alignment vertical="center"/>
    </xf>
    <xf numFmtId="3" fontId="26" fillId="2" borderId="0" xfId="0" quotePrefix="1" applyNumberFormat="1" applyFont="1" applyFill="1" applyAlignment="1">
      <alignment vertical="center"/>
    </xf>
    <xf numFmtId="9" fontId="26" fillId="0" borderId="0" xfId="2" quotePrefix="1" applyFont="1" applyBorder="1" applyAlignment="1">
      <alignment vertical="center"/>
    </xf>
    <xf numFmtId="0" fontId="39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/>
    </xf>
    <xf numFmtId="0" fontId="39" fillId="0" borderId="0" xfId="0" applyFont="1" applyAlignment="1">
      <alignment vertical="center"/>
    </xf>
    <xf numFmtId="3" fontId="40" fillId="0" borderId="0" xfId="0" applyNumberFormat="1" applyFont="1" applyAlignment="1">
      <alignment vertical="center"/>
    </xf>
    <xf numFmtId="0" fontId="40" fillId="0" borderId="0" xfId="0" applyFont="1" applyAlignment="1">
      <alignment horizontal="right" vertical="center"/>
    </xf>
    <xf numFmtId="9" fontId="5" fillId="0" borderId="0" xfId="2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9" fontId="26" fillId="3" borderId="5" xfId="2" applyFont="1" applyFill="1" applyBorder="1" applyAlignment="1">
      <alignment horizontal="right" vertical="center"/>
    </xf>
    <xf numFmtId="9" fontId="26" fillId="3" borderId="6" xfId="2" applyFont="1" applyFill="1" applyBorder="1" applyAlignment="1">
      <alignment vertical="center"/>
    </xf>
    <xf numFmtId="9" fontId="26" fillId="4" borderId="3" xfId="2" applyFont="1" applyFill="1" applyBorder="1" applyAlignment="1">
      <alignment horizontal="right" vertical="center"/>
    </xf>
    <xf numFmtId="9" fontId="28" fillId="0" borderId="3" xfId="2" applyFont="1" applyFill="1" applyBorder="1" applyAlignment="1">
      <alignment horizontal="right" vertical="center"/>
    </xf>
    <xf numFmtId="9" fontId="29" fillId="0" borderId="3" xfId="2" applyFont="1" applyFill="1" applyBorder="1" applyAlignment="1">
      <alignment horizontal="right" vertical="center"/>
    </xf>
    <xf numFmtId="9" fontId="29" fillId="0" borderId="4" xfId="2" quotePrefix="1" applyFont="1" applyBorder="1" applyAlignment="1"/>
    <xf numFmtId="9" fontId="28" fillId="2" borderId="3" xfId="2" quotePrefix="1" applyFont="1" applyFill="1" applyBorder="1" applyAlignment="1">
      <alignment horizontal="right" vertical="center"/>
    </xf>
    <xf numFmtId="9" fontId="28" fillId="2" borderId="5" xfId="2" quotePrefix="1" applyFont="1" applyFill="1" applyBorder="1" applyAlignment="1">
      <alignment horizontal="right" vertical="center"/>
    </xf>
    <xf numFmtId="9" fontId="28" fillId="0" borderId="7" xfId="2" quotePrefix="1" applyFont="1" applyBorder="1" applyAlignment="1"/>
    <xf numFmtId="9" fontId="26" fillId="2" borderId="0" xfId="2" quotePrefix="1" applyFont="1" applyFill="1" applyBorder="1" applyAlignment="1">
      <alignment horizontal="right" vertical="center"/>
    </xf>
    <xf numFmtId="9" fontId="26" fillId="0" borderId="0" xfId="2" quotePrefix="1" applyFont="1" applyBorder="1" applyAlignment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17" fillId="0" borderId="0" xfId="0" applyFont="1"/>
    <xf numFmtId="57" fontId="44" fillId="0" borderId="0" xfId="3" applyNumberFormat="1" applyFont="1">
      <alignment vertical="center"/>
    </xf>
    <xf numFmtId="0" fontId="43" fillId="0" borderId="0" xfId="3" applyAlignment="1">
      <alignment horizontal="center" vertical="center"/>
    </xf>
    <xf numFmtId="0" fontId="43" fillId="0" borderId="0" xfId="3">
      <alignment vertical="center"/>
    </xf>
    <xf numFmtId="0" fontId="46" fillId="0" borderId="10" xfId="3" applyFont="1" applyBorder="1" applyAlignment="1">
      <alignment vertical="top"/>
    </xf>
    <xf numFmtId="14" fontId="46" fillId="0" borderId="11" xfId="3" applyNumberFormat="1" applyFont="1" applyBorder="1" applyAlignment="1">
      <alignment horizontal="center" vertical="top"/>
    </xf>
    <xf numFmtId="0" fontId="46" fillId="0" borderId="12" xfId="3" applyFont="1" applyBorder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46" fillId="0" borderId="13" xfId="3" applyFont="1" applyBorder="1" applyAlignment="1"/>
    <xf numFmtId="0" fontId="46" fillId="0" borderId="14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43" fillId="0" borderId="16" xfId="3" applyBorder="1" applyAlignment="1"/>
    <xf numFmtId="3" fontId="43" fillId="0" borderId="17" xfId="3" applyNumberFormat="1" applyBorder="1" applyAlignment="1">
      <alignment horizontal="right"/>
    </xf>
    <xf numFmtId="3" fontId="46" fillId="0" borderId="18" xfId="3" applyNumberFormat="1" applyFont="1" applyBorder="1" applyAlignment="1">
      <alignment horizontal="right"/>
    </xf>
    <xf numFmtId="3" fontId="43" fillId="0" borderId="0" xfId="3" applyNumberFormat="1" applyAlignment="1"/>
    <xf numFmtId="0" fontId="43" fillId="0" borderId="19" xfId="3" applyBorder="1" applyAlignment="1"/>
    <xf numFmtId="3" fontId="43" fillId="0" borderId="20" xfId="3" applyNumberFormat="1" applyBorder="1" applyAlignment="1">
      <alignment horizontal="right"/>
    </xf>
    <xf numFmtId="3" fontId="46" fillId="0" borderId="21" xfId="3" applyNumberFormat="1" applyFont="1" applyBorder="1" applyAlignment="1">
      <alignment horizontal="right"/>
    </xf>
    <xf numFmtId="3" fontId="46" fillId="0" borderId="14" xfId="3" applyNumberFormat="1" applyFont="1" applyBorder="1" applyAlignment="1">
      <alignment horizontal="right"/>
    </xf>
    <xf numFmtId="3" fontId="46" fillId="0" borderId="15" xfId="3" applyNumberFormat="1" applyFont="1" applyBorder="1" applyAlignment="1">
      <alignment horizontal="right"/>
    </xf>
    <xf numFmtId="3" fontId="46" fillId="0" borderId="0" xfId="3" applyNumberFormat="1" applyFont="1" applyAlignment="1"/>
    <xf numFmtId="0" fontId="47" fillId="0" borderId="0" xfId="3" applyFont="1">
      <alignment vertical="center"/>
    </xf>
    <xf numFmtId="3" fontId="47" fillId="0" borderId="0" xfId="3" applyNumberFormat="1" applyFont="1" applyAlignment="1"/>
    <xf numFmtId="0" fontId="46" fillId="0" borderId="0" xfId="3" applyFont="1" applyAlignment="1"/>
    <xf numFmtId="3" fontId="46" fillId="0" borderId="0" xfId="3" applyNumberFormat="1" applyFont="1" applyAlignment="1">
      <alignment horizontal="center"/>
    </xf>
    <xf numFmtId="3" fontId="43" fillId="0" borderId="0" xfId="3" applyNumberFormat="1" applyAlignment="1">
      <alignment horizontal="center"/>
    </xf>
    <xf numFmtId="0" fontId="46" fillId="0" borderId="0" xfId="3" applyFont="1">
      <alignment vertical="center"/>
    </xf>
    <xf numFmtId="0" fontId="48" fillId="0" borderId="0" xfId="3" applyFont="1" applyAlignment="1">
      <alignment horizontal="center" vertical="center"/>
    </xf>
    <xf numFmtId="0" fontId="49" fillId="0" borderId="10" xfId="3" applyFont="1" applyBorder="1">
      <alignment vertical="center"/>
    </xf>
    <xf numFmtId="0" fontId="49" fillId="0" borderId="12" xfId="3" applyFont="1" applyBorder="1" applyAlignment="1">
      <alignment horizontal="center" vertical="center"/>
    </xf>
    <xf numFmtId="0" fontId="49" fillId="0" borderId="13" xfId="3" applyFont="1" applyBorder="1">
      <alignment vertical="center"/>
    </xf>
    <xf numFmtId="0" fontId="50" fillId="0" borderId="16" xfId="3" applyFont="1" applyBorder="1">
      <alignment vertical="center"/>
    </xf>
    <xf numFmtId="0" fontId="43" fillId="0" borderId="0" xfId="3" applyAlignment="1">
      <alignment horizontal="right" vertical="center"/>
    </xf>
    <xf numFmtId="0" fontId="50" fillId="0" borderId="19" xfId="3" applyFont="1" applyBorder="1">
      <alignment vertical="center"/>
    </xf>
    <xf numFmtId="0" fontId="43" fillId="0" borderId="13" xfId="3" applyBorder="1" applyAlignment="1"/>
    <xf numFmtId="0" fontId="43" fillId="0" borderId="10" xfId="3" applyBorder="1">
      <alignment vertical="center"/>
    </xf>
    <xf numFmtId="14" fontId="43" fillId="0" borderId="11" xfId="3" applyNumberFormat="1" applyBorder="1" applyAlignment="1">
      <alignment horizontal="center" vertical="center"/>
    </xf>
    <xf numFmtId="0" fontId="43" fillId="0" borderId="0" xfId="3" applyBorder="1" applyAlignment="1">
      <alignment horizontal="center" vertical="center"/>
    </xf>
    <xf numFmtId="0" fontId="43" fillId="0" borderId="0" xfId="3" applyBorder="1">
      <alignment vertical="center"/>
    </xf>
    <xf numFmtId="57" fontId="44" fillId="0" borderId="0" xfId="3" applyNumberFormat="1" applyFont="1" applyBorder="1">
      <alignment vertical="center"/>
    </xf>
    <xf numFmtId="0" fontId="46" fillId="0" borderId="0" xfId="3" applyFont="1" applyBorder="1" applyAlignment="1">
      <alignment vertical="top"/>
    </xf>
    <xf numFmtId="14" fontId="46" fillId="0" borderId="0" xfId="3" applyNumberFormat="1" applyFont="1" applyBorder="1" applyAlignment="1">
      <alignment horizontal="center" vertical="top"/>
    </xf>
    <xf numFmtId="0" fontId="46" fillId="0" borderId="0" xfId="3" applyFont="1" applyBorder="1" applyAlignment="1">
      <alignment horizontal="center" vertical="center"/>
    </xf>
    <xf numFmtId="0" fontId="46" fillId="0" borderId="0" xfId="3" applyFont="1" applyBorder="1" applyAlignment="1"/>
    <xf numFmtId="0" fontId="46" fillId="0" borderId="0" xfId="3" applyFont="1" applyBorder="1" applyAlignment="1">
      <alignment horizontal="center"/>
    </xf>
    <xf numFmtId="0" fontId="43" fillId="0" borderId="0" xfId="3" applyBorder="1" applyAlignment="1"/>
    <xf numFmtId="3" fontId="43" fillId="0" borderId="0" xfId="3" applyNumberFormat="1" applyBorder="1" applyAlignment="1"/>
    <xf numFmtId="3" fontId="46" fillId="0" borderId="0" xfId="3" applyNumberFormat="1" applyFont="1" applyBorder="1">
      <alignment vertical="center"/>
    </xf>
    <xf numFmtId="3" fontId="46" fillId="0" borderId="0" xfId="3" applyNumberFormat="1" applyFont="1" applyBorder="1" applyAlignment="1"/>
    <xf numFmtId="0" fontId="51" fillId="0" borderId="0" xfId="3" applyFont="1">
      <alignment vertical="center"/>
    </xf>
    <xf numFmtId="57" fontId="52" fillId="0" borderId="0" xfId="3" applyNumberFormat="1" applyFont="1">
      <alignment vertical="center"/>
    </xf>
    <xf numFmtId="0" fontId="53" fillId="0" borderId="0" xfId="3" applyFont="1" applyAlignment="1">
      <alignment horizontal="center" vertical="center"/>
    </xf>
    <xf numFmtId="0" fontId="53" fillId="0" borderId="0" xfId="3" applyFont="1" applyBorder="1" applyAlignment="1">
      <alignment horizontal="center" vertical="center"/>
    </xf>
    <xf numFmtId="0" fontId="53" fillId="0" borderId="0" xfId="3" applyFont="1">
      <alignment vertical="center"/>
    </xf>
    <xf numFmtId="0" fontId="54" fillId="0" borderId="10" xfId="3" applyFont="1" applyBorder="1" applyAlignment="1">
      <alignment vertical="top"/>
    </xf>
    <xf numFmtId="14" fontId="54" fillId="0" borderId="11" xfId="3" applyNumberFormat="1" applyFont="1" applyBorder="1" applyAlignment="1">
      <alignment horizontal="center" vertical="top"/>
    </xf>
    <xf numFmtId="0" fontId="54" fillId="0" borderId="12" xfId="3" applyFont="1" applyBorder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54" fillId="0" borderId="0" xfId="3" applyFont="1" applyBorder="1" applyAlignment="1">
      <alignment vertical="top"/>
    </xf>
    <xf numFmtId="14" fontId="54" fillId="0" borderId="0" xfId="3" applyNumberFormat="1" applyFont="1" applyBorder="1" applyAlignment="1">
      <alignment horizontal="center" vertical="top"/>
    </xf>
    <xf numFmtId="0" fontId="54" fillId="0" borderId="13" xfId="3" applyFont="1" applyBorder="1" applyAlignment="1"/>
    <xf numFmtId="0" fontId="54" fillId="0" borderId="14" xfId="3" applyFont="1" applyBorder="1" applyAlignment="1">
      <alignment horizontal="center"/>
    </xf>
    <xf numFmtId="0" fontId="54" fillId="0" borderId="15" xfId="3" applyFont="1" applyBorder="1" applyAlignment="1">
      <alignment horizontal="center"/>
    </xf>
    <xf numFmtId="0" fontId="54" fillId="0" borderId="0" xfId="3" applyFont="1" applyAlignment="1">
      <alignment horizontal="center"/>
    </xf>
    <xf numFmtId="0" fontId="54" fillId="0" borderId="0" xfId="3" applyFont="1" applyBorder="1" applyAlignment="1"/>
    <xf numFmtId="0" fontId="54" fillId="0" borderId="0" xfId="3" applyFont="1" applyBorder="1" applyAlignment="1">
      <alignment horizontal="center"/>
    </xf>
    <xf numFmtId="0" fontId="53" fillId="0" borderId="16" xfId="3" applyFont="1" applyBorder="1" applyAlignment="1"/>
    <xf numFmtId="3" fontId="53" fillId="0" borderId="17" xfId="3" applyNumberFormat="1" applyFont="1" applyBorder="1" applyAlignment="1">
      <alignment horizontal="right"/>
    </xf>
    <xf numFmtId="3" fontId="54" fillId="0" borderId="18" xfId="3" applyNumberFormat="1" applyFont="1" applyBorder="1" applyAlignment="1">
      <alignment horizontal="right"/>
    </xf>
    <xf numFmtId="3" fontId="53" fillId="0" borderId="0" xfId="3" applyNumberFormat="1" applyFont="1" applyAlignment="1"/>
    <xf numFmtId="0" fontId="53" fillId="0" borderId="0" xfId="3" applyFont="1" applyBorder="1" applyAlignment="1"/>
    <xf numFmtId="3" fontId="53" fillId="0" borderId="0" xfId="3" applyNumberFormat="1" applyFont="1" applyBorder="1" applyAlignment="1"/>
    <xf numFmtId="0" fontId="53" fillId="0" borderId="19" xfId="3" applyFont="1" applyBorder="1" applyAlignment="1"/>
    <xf numFmtId="3" fontId="53" fillId="0" borderId="20" xfId="3" applyNumberFormat="1" applyFont="1" applyBorder="1" applyAlignment="1">
      <alignment horizontal="right"/>
    </xf>
    <xf numFmtId="3" fontId="54" fillId="0" borderId="21" xfId="3" applyNumberFormat="1" applyFont="1" applyBorder="1" applyAlignment="1">
      <alignment horizontal="right"/>
    </xf>
    <xf numFmtId="3" fontId="54" fillId="0" borderId="14" xfId="3" applyNumberFormat="1" applyFont="1" applyBorder="1" applyAlignment="1">
      <alignment horizontal="right"/>
    </xf>
    <xf numFmtId="3" fontId="54" fillId="0" borderId="15" xfId="3" applyNumberFormat="1" applyFont="1" applyBorder="1" applyAlignment="1">
      <alignment horizontal="right"/>
    </xf>
    <xf numFmtId="3" fontId="54" fillId="0" borderId="0" xfId="3" applyNumberFormat="1" applyFont="1" applyAlignment="1"/>
    <xf numFmtId="3" fontId="54" fillId="0" borderId="0" xfId="3" applyNumberFormat="1" applyFont="1" applyBorder="1" applyAlignment="1"/>
    <xf numFmtId="0" fontId="53" fillId="0" borderId="0" xfId="3" applyFont="1" applyBorder="1">
      <alignment vertical="center"/>
    </xf>
    <xf numFmtId="57" fontId="52" fillId="0" borderId="0" xfId="3" applyNumberFormat="1" applyFont="1" applyBorder="1">
      <alignment vertical="center"/>
    </xf>
    <xf numFmtId="176" fontId="55" fillId="0" borderId="0" xfId="1" applyNumberFormat="1" applyFont="1" applyAlignment="1">
      <alignment horizontal="center" vertical="center"/>
    </xf>
    <xf numFmtId="14" fontId="46" fillId="6" borderId="11" xfId="3" applyNumberFormat="1" applyFont="1" applyFill="1" applyBorder="1" applyAlignment="1">
      <alignment horizontal="center" vertical="top"/>
    </xf>
    <xf numFmtId="0" fontId="46" fillId="6" borderId="14" xfId="3" applyFont="1" applyFill="1" applyBorder="1" applyAlignment="1">
      <alignment horizontal="center"/>
    </xf>
    <xf numFmtId="3" fontId="43" fillId="6" borderId="17" xfId="3" applyNumberFormat="1" applyFill="1" applyBorder="1" applyAlignment="1">
      <alignment horizontal="right"/>
    </xf>
    <xf numFmtId="3" fontId="43" fillId="6" borderId="20" xfId="3" applyNumberFormat="1" applyFill="1" applyBorder="1" applyAlignment="1">
      <alignment horizontal="right"/>
    </xf>
    <xf numFmtId="3" fontId="46" fillId="6" borderId="14" xfId="3" applyNumberFormat="1" applyFont="1" applyFill="1" applyBorder="1" applyAlignment="1">
      <alignment horizontal="right"/>
    </xf>
    <xf numFmtId="3" fontId="56" fillId="0" borderId="0" xfId="3" applyNumberFormat="1" applyFont="1" applyAlignment="1">
      <alignment horizontal="right"/>
    </xf>
    <xf numFmtId="3" fontId="57" fillId="0" borderId="0" xfId="3" applyNumberFormat="1" applyFont="1" applyAlignment="1">
      <alignment horizontal="right"/>
    </xf>
    <xf numFmtId="0" fontId="46" fillId="0" borderId="13" xfId="3" applyFont="1" applyBorder="1" applyAlignment="1">
      <alignment vertical="center"/>
    </xf>
    <xf numFmtId="0" fontId="46" fillId="0" borderId="15" xfId="3" applyFont="1" applyBorder="1" applyAlignment="1">
      <alignment horizontal="center" vertical="center"/>
    </xf>
    <xf numFmtId="0" fontId="43" fillId="0" borderId="0" xfId="3" applyAlignment="1">
      <alignment vertical="center"/>
    </xf>
    <xf numFmtId="0" fontId="46" fillId="6" borderId="14" xfId="3" applyFont="1" applyFill="1" applyBorder="1" applyAlignment="1">
      <alignment horizontal="center" vertical="center"/>
    </xf>
    <xf numFmtId="176" fontId="55" fillId="6" borderId="0" xfId="1" applyNumberFormat="1" applyFont="1" applyFill="1" applyAlignment="1">
      <alignment horizontal="center" vertical="center"/>
    </xf>
    <xf numFmtId="3" fontId="53" fillId="0" borderId="23" xfId="3" applyNumberFormat="1" applyFont="1" applyBorder="1" applyAlignment="1">
      <alignment horizontal="right"/>
    </xf>
    <xf numFmtId="3" fontId="53" fillId="0" borderId="24" xfId="3" applyNumberFormat="1" applyFont="1" applyBorder="1" applyAlignment="1">
      <alignment horizontal="right"/>
    </xf>
    <xf numFmtId="3" fontId="54" fillId="0" borderId="22" xfId="3" applyNumberFormat="1" applyFont="1" applyBorder="1" applyAlignment="1">
      <alignment horizontal="right"/>
    </xf>
    <xf numFmtId="176" fontId="43" fillId="0" borderId="20" xfId="1" applyNumberFormat="1" applyFont="1" applyBorder="1" applyAlignment="1">
      <alignment horizontal="right"/>
    </xf>
    <xf numFmtId="176" fontId="46" fillId="0" borderId="14" xfId="1" applyNumberFormat="1" applyFont="1" applyBorder="1" applyAlignment="1">
      <alignment horizontal="right"/>
    </xf>
    <xf numFmtId="3" fontId="47" fillId="0" borderId="0" xfId="3" applyNumberFormat="1" applyFont="1" applyBorder="1" applyAlignment="1"/>
    <xf numFmtId="176" fontId="55" fillId="0" borderId="11" xfId="1" applyNumberFormat="1" applyFont="1" applyBorder="1" applyAlignment="1">
      <alignment horizontal="center" vertical="center"/>
    </xf>
    <xf numFmtId="3" fontId="46" fillId="0" borderId="12" xfId="3" applyNumberFormat="1" applyFont="1" applyBorder="1" applyAlignment="1">
      <alignment horizontal="right"/>
    </xf>
    <xf numFmtId="176" fontId="55" fillId="0" borderId="20" xfId="1" applyNumberFormat="1" applyFont="1" applyBorder="1" applyAlignment="1">
      <alignment horizontal="center" vertical="center"/>
    </xf>
    <xf numFmtId="176" fontId="46" fillId="0" borderId="12" xfId="1" applyNumberFormat="1" applyFont="1" applyBorder="1" applyAlignment="1">
      <alignment horizontal="right"/>
    </xf>
    <xf numFmtId="176" fontId="46" fillId="0" borderId="21" xfId="1" applyNumberFormat="1" applyFont="1" applyBorder="1" applyAlignment="1">
      <alignment horizontal="right"/>
    </xf>
    <xf numFmtId="176" fontId="46" fillId="0" borderId="15" xfId="1" applyNumberFormat="1" applyFont="1" applyBorder="1" applyAlignment="1">
      <alignment horizontal="right"/>
    </xf>
    <xf numFmtId="0" fontId="54" fillId="0" borderId="0" xfId="3" applyFont="1" applyAlignment="1"/>
    <xf numFmtId="3" fontId="54" fillId="0" borderId="0" xfId="3" applyNumberFormat="1" applyFont="1" applyAlignment="1">
      <alignment horizontal="center"/>
    </xf>
    <xf numFmtId="3" fontId="53" fillId="0" borderId="0" xfId="3" applyNumberFormat="1" applyFont="1" applyAlignment="1">
      <alignment horizontal="center"/>
    </xf>
    <xf numFmtId="0" fontId="54" fillId="0" borderId="0" xfId="3" applyFont="1">
      <alignment vertical="center"/>
    </xf>
    <xf numFmtId="3" fontId="53" fillId="0" borderId="11" xfId="3" applyNumberFormat="1" applyFont="1" applyBorder="1" applyAlignment="1">
      <alignment horizontal="right"/>
    </xf>
    <xf numFmtId="3" fontId="53" fillId="0" borderId="12" xfId="3" applyNumberFormat="1" applyFont="1" applyBorder="1" applyAlignment="1">
      <alignment horizontal="right" vertical="center"/>
    </xf>
    <xf numFmtId="0" fontId="53" fillId="0" borderId="21" xfId="3" applyFont="1" applyBorder="1" applyAlignment="1">
      <alignment horizontal="right" vertical="center"/>
    </xf>
    <xf numFmtId="14" fontId="53" fillId="0" borderId="11" xfId="3" applyNumberFormat="1" applyFont="1" applyBorder="1" applyAlignment="1">
      <alignment horizontal="center" vertical="top"/>
    </xf>
    <xf numFmtId="0" fontId="53" fillId="0" borderId="10" xfId="3" applyFont="1" applyBorder="1" applyAlignment="1">
      <alignment vertical="top"/>
    </xf>
    <xf numFmtId="0" fontId="53" fillId="0" borderId="13" xfId="3" applyFont="1" applyBorder="1" applyAlignment="1"/>
    <xf numFmtId="0" fontId="53" fillId="0" borderId="14" xfId="3" applyFont="1" applyBorder="1" applyAlignment="1">
      <alignment horizontal="center"/>
    </xf>
    <xf numFmtId="3" fontId="43" fillId="0" borderId="17" xfId="3" applyNumberFormat="1" applyFont="1" applyBorder="1" applyAlignment="1">
      <alignment horizontal="right"/>
    </xf>
    <xf numFmtId="3" fontId="43" fillId="0" borderId="20" xfId="3" applyNumberFormat="1" applyFont="1" applyBorder="1" applyAlignment="1">
      <alignment horizontal="right"/>
    </xf>
    <xf numFmtId="3" fontId="43" fillId="0" borderId="14" xfId="3" applyNumberFormat="1" applyFont="1" applyBorder="1" applyAlignment="1">
      <alignment horizontal="right"/>
    </xf>
    <xf numFmtId="0" fontId="46" fillId="0" borderId="10" xfId="3" applyFont="1" applyBorder="1">
      <alignment vertical="center"/>
    </xf>
    <xf numFmtId="14" fontId="46" fillId="0" borderId="11" xfId="3" applyNumberFormat="1" applyFont="1" applyBorder="1" applyAlignment="1">
      <alignment horizontal="center" vertical="center"/>
    </xf>
    <xf numFmtId="176" fontId="46" fillId="0" borderId="0" xfId="1" applyNumberFormat="1" applyFont="1" applyBorder="1" applyAlignment="1">
      <alignment horizontal="right"/>
    </xf>
    <xf numFmtId="0" fontId="54" fillId="0" borderId="0" xfId="3" applyFont="1" applyBorder="1" applyAlignment="1">
      <alignment horizontal="center" vertical="center"/>
    </xf>
    <xf numFmtId="3" fontId="54" fillId="0" borderId="0" xfId="3" applyNumberFormat="1" applyFont="1" applyBorder="1" applyAlignment="1">
      <alignment horizontal="right"/>
    </xf>
    <xf numFmtId="0" fontId="43" fillId="0" borderId="0" xfId="3" applyFont="1" applyAlignment="1">
      <alignment horizontal="center" vertical="center"/>
    </xf>
    <xf numFmtId="0" fontId="43" fillId="0" borderId="0" xfId="3" applyFont="1">
      <alignment vertical="center"/>
    </xf>
    <xf numFmtId="0" fontId="43" fillId="0" borderId="16" xfId="3" applyFont="1" applyBorder="1" applyAlignment="1"/>
    <xf numFmtId="3" fontId="46" fillId="0" borderId="0" xfId="3" applyNumberFormat="1" applyFont="1" applyBorder="1" applyAlignment="1">
      <alignment horizontal="right"/>
    </xf>
    <xf numFmtId="0" fontId="43" fillId="0" borderId="19" xfId="3" applyFont="1" applyBorder="1" applyAlignment="1"/>
    <xf numFmtId="176" fontId="58" fillId="0" borderId="0" xfId="1" applyNumberFormat="1" applyFont="1" applyAlignment="1">
      <alignment horizontal="center" vertical="center"/>
    </xf>
    <xf numFmtId="176" fontId="58" fillId="0" borderId="20" xfId="1" applyNumberFormat="1" applyFont="1" applyBorder="1" applyAlignment="1">
      <alignment horizontal="center" vertical="center"/>
    </xf>
    <xf numFmtId="176" fontId="46" fillId="0" borderId="18" xfId="1" applyNumberFormat="1" applyFont="1" applyBorder="1" applyAlignment="1">
      <alignment horizontal="right"/>
    </xf>
    <xf numFmtId="9" fontId="49" fillId="0" borderId="0" xfId="2" applyNumberFormat="1" applyFont="1" applyBorder="1" applyAlignment="1">
      <alignment horizontal="center" vertical="center"/>
    </xf>
    <xf numFmtId="3" fontId="59" fillId="0" borderId="0" xfId="3" applyNumberFormat="1" applyFont="1" applyAlignment="1">
      <alignment horizontal="right"/>
    </xf>
    <xf numFmtId="9" fontId="59" fillId="0" borderId="0" xfId="2" applyFont="1" applyAlignment="1">
      <alignment horizontal="center"/>
    </xf>
    <xf numFmtId="3" fontId="60" fillId="0" borderId="0" xfId="3" applyNumberFormat="1" applyFont="1" applyAlignment="1">
      <alignment horizontal="right"/>
    </xf>
    <xf numFmtId="9" fontId="60" fillId="0" borderId="0" xfId="2" applyFont="1" applyAlignment="1">
      <alignment horizontal="center"/>
    </xf>
    <xf numFmtId="3" fontId="61" fillId="0" borderId="0" xfId="3" applyNumberFormat="1" applyFont="1" applyAlignment="1">
      <alignment horizontal="center"/>
    </xf>
    <xf numFmtId="3" fontId="53" fillId="0" borderId="0" xfId="3" applyNumberFormat="1" applyFont="1">
      <alignment vertical="center"/>
    </xf>
    <xf numFmtId="3" fontId="62" fillId="0" borderId="0" xfId="3" applyNumberFormat="1" applyFont="1" applyAlignment="1"/>
    <xf numFmtId="3" fontId="43" fillId="0" borderId="0" xfId="3" applyNumberFormat="1">
      <alignment vertical="center"/>
    </xf>
    <xf numFmtId="14" fontId="46" fillId="6" borderId="12" xfId="3" applyNumberFormat="1" applyFont="1" applyFill="1" applyBorder="1" applyAlignment="1">
      <alignment horizontal="center" vertical="top"/>
    </xf>
    <xf numFmtId="0" fontId="46" fillId="6" borderId="15" xfId="3" applyFont="1" applyFill="1" applyBorder="1" applyAlignment="1">
      <alignment horizontal="center" vertical="center"/>
    </xf>
    <xf numFmtId="3" fontId="46" fillId="6" borderId="15" xfId="3" applyNumberFormat="1" applyFont="1" applyFill="1" applyBorder="1" applyAlignment="1">
      <alignment horizontal="right"/>
    </xf>
    <xf numFmtId="176" fontId="63" fillId="6" borderId="4" xfId="1" applyNumberFormat="1" applyFont="1" applyFill="1" applyBorder="1" applyAlignment="1">
      <alignment horizontal="center" vertical="center"/>
    </xf>
    <xf numFmtId="3" fontId="46" fillId="6" borderId="21" xfId="3" applyNumberFormat="1" applyFont="1" applyFill="1" applyBorder="1" applyAlignment="1">
      <alignment horizontal="right"/>
    </xf>
    <xf numFmtId="3" fontId="46" fillId="0" borderId="0" xfId="3" applyNumberFormat="1" applyFont="1" applyAlignment="1">
      <alignment horizontal="right"/>
    </xf>
    <xf numFmtId="9" fontId="56" fillId="0" borderId="0" xfId="2" applyFont="1" applyAlignment="1">
      <alignment horizontal="center"/>
    </xf>
    <xf numFmtId="3" fontId="46" fillId="6" borderId="17" xfId="3" applyNumberFormat="1" applyFont="1" applyFill="1" applyBorder="1" applyAlignment="1">
      <alignment horizontal="right"/>
    </xf>
    <xf numFmtId="3" fontId="46" fillId="6" borderId="20" xfId="3" applyNumberFormat="1" applyFont="1" applyFill="1" applyBorder="1" applyAlignment="1">
      <alignment horizontal="right"/>
    </xf>
    <xf numFmtId="3" fontId="46" fillId="0" borderId="0" xfId="3" applyNumberFormat="1" applyFont="1" applyAlignment="1">
      <alignment horizontal="center" vertical="center"/>
    </xf>
    <xf numFmtId="3" fontId="46" fillId="0" borderId="0" xfId="3" applyNumberFormat="1" applyFont="1" applyAlignment="1">
      <alignment horizontal="right" vertical="center"/>
    </xf>
    <xf numFmtId="3" fontId="46" fillId="0" borderId="0" xfId="3" applyNumberFormat="1" applyFont="1" applyAlignment="1">
      <alignment vertical="center"/>
    </xf>
    <xf numFmtId="0" fontId="46" fillId="0" borderId="14" xfId="3" applyFont="1" applyBorder="1" applyAlignment="1">
      <alignment horizontal="center" vertical="center"/>
    </xf>
    <xf numFmtId="0" fontId="43" fillId="0" borderId="0" xfId="3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0" fontId="67" fillId="0" borderId="0" xfId="0" applyFont="1"/>
    <xf numFmtId="0" fontId="10" fillId="0" borderId="25" xfId="3" applyFont="1" applyBorder="1" applyAlignment="1">
      <alignment vertical="top"/>
    </xf>
    <xf numFmtId="0" fontId="10" fillId="0" borderId="26" xfId="3" applyFont="1" applyBorder="1" applyAlignment="1"/>
    <xf numFmtId="0" fontId="66" fillId="0" borderId="27" xfId="3" applyFont="1" applyBorder="1" applyAlignment="1"/>
    <xf numFmtId="0" fontId="13" fillId="0" borderId="27" xfId="3" applyFont="1" applyBorder="1" applyAlignment="1">
      <alignment horizontal="left" indent="2"/>
    </xf>
    <xf numFmtId="0" fontId="68" fillId="0" borderId="29" xfId="0" applyFont="1" applyBorder="1"/>
    <xf numFmtId="176" fontId="10" fillId="0" borderId="29" xfId="1" applyNumberFormat="1" applyFont="1" applyBorder="1" applyAlignment="1">
      <alignment horizontal="center"/>
    </xf>
    <xf numFmtId="176" fontId="10" fillId="0" borderId="30" xfId="1" applyNumberFormat="1" applyFont="1" applyBorder="1" applyAlignment="1">
      <alignment horizontal="center"/>
    </xf>
    <xf numFmtId="176" fontId="10" fillId="0" borderId="31" xfId="0" applyNumberFormat="1" applyFont="1" applyBorder="1"/>
    <xf numFmtId="0" fontId="37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6" fillId="0" borderId="25" xfId="3" applyFont="1" applyBorder="1" applyAlignment="1"/>
    <xf numFmtId="176" fontId="66" fillId="0" borderId="25" xfId="1" applyNumberFormat="1" applyFont="1" applyBorder="1" applyAlignment="1">
      <alignment horizontal="center"/>
    </xf>
    <xf numFmtId="176" fontId="66" fillId="0" borderId="32" xfId="1" applyNumberFormat="1" applyFont="1" applyBorder="1" applyAlignment="1">
      <alignment horizontal="center"/>
    </xf>
    <xf numFmtId="176" fontId="66" fillId="0" borderId="27" xfId="1" applyNumberFormat="1" applyFont="1" applyBorder="1" applyAlignment="1">
      <alignment horizontal="center"/>
    </xf>
    <xf numFmtId="176" fontId="66" fillId="0" borderId="34" xfId="1" applyNumberFormat="1" applyFont="1" applyBorder="1" applyAlignment="1">
      <alignment horizontal="center"/>
    </xf>
    <xf numFmtId="9" fontId="66" fillId="0" borderId="34" xfId="2" applyFont="1" applyBorder="1" applyAlignment="1">
      <alignment horizontal="center" vertical="center"/>
    </xf>
    <xf numFmtId="0" fontId="66" fillId="0" borderId="35" xfId="0" applyFont="1" applyBorder="1"/>
    <xf numFmtId="9" fontId="66" fillId="0" borderId="34" xfId="2" applyFont="1" applyBorder="1" applyAlignment="1"/>
    <xf numFmtId="176" fontId="13" fillId="0" borderId="27" xfId="1" applyNumberFormat="1" applyFont="1" applyBorder="1" applyAlignment="1">
      <alignment horizontal="center"/>
    </xf>
    <xf numFmtId="176" fontId="13" fillId="0" borderId="34" xfId="1" applyNumberFormat="1" applyFont="1" applyBorder="1" applyAlignment="1">
      <alignment horizontal="center"/>
    </xf>
    <xf numFmtId="9" fontId="13" fillId="0" borderId="34" xfId="2" applyFont="1" applyBorder="1" applyAlignment="1">
      <alignment horizontal="center" vertical="center"/>
    </xf>
    <xf numFmtId="0" fontId="67" fillId="0" borderId="35" xfId="0" applyFont="1" applyBorder="1"/>
    <xf numFmtId="9" fontId="67" fillId="0" borderId="34" xfId="2" applyFont="1" applyBorder="1" applyAlignment="1"/>
    <xf numFmtId="176" fontId="66" fillId="0" borderId="35" xfId="0" applyNumberFormat="1" applyFont="1" applyBorder="1"/>
    <xf numFmtId="176" fontId="10" fillId="0" borderId="26" xfId="1" applyNumberFormat="1" applyFont="1" applyBorder="1" applyAlignment="1">
      <alignment horizontal="center"/>
    </xf>
    <xf numFmtId="176" fontId="10" fillId="0" borderId="36" xfId="1" applyNumberFormat="1" applyFont="1" applyBorder="1" applyAlignment="1">
      <alignment horizontal="center"/>
    </xf>
    <xf numFmtId="9" fontId="10" fillId="0" borderId="36" xfId="2" applyFont="1" applyBorder="1" applyAlignment="1">
      <alignment horizontal="center" vertical="center"/>
    </xf>
    <xf numFmtId="0" fontId="10" fillId="0" borderId="37" xfId="0" applyFont="1" applyBorder="1"/>
    <xf numFmtId="9" fontId="10" fillId="0" borderId="36" xfId="2" applyFont="1" applyBorder="1" applyAlignment="1"/>
    <xf numFmtId="0" fontId="10" fillId="0" borderId="26" xfId="3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176" fontId="66" fillId="0" borderId="33" xfId="1" applyNumberFormat="1" applyFont="1" applyBorder="1" applyAlignment="1"/>
    <xf numFmtId="176" fontId="66" fillId="0" borderId="35" xfId="1" applyNumberFormat="1" applyFont="1" applyBorder="1" applyAlignment="1"/>
    <xf numFmtId="176" fontId="67" fillId="0" borderId="35" xfId="1" applyNumberFormat="1" applyFont="1" applyBorder="1" applyAlignment="1"/>
    <xf numFmtId="176" fontId="10" fillId="0" borderId="37" xfId="1" applyNumberFormat="1" applyFont="1" applyBorder="1" applyAlignment="1"/>
    <xf numFmtId="176" fontId="10" fillId="0" borderId="31" xfId="1" applyNumberFormat="1" applyFont="1" applyBorder="1" applyAlignment="1"/>
    <xf numFmtId="0" fontId="64" fillId="6" borderId="27" xfId="3" applyFont="1" applyFill="1" applyBorder="1" applyAlignment="1">
      <alignment horizontal="left" indent="2"/>
    </xf>
    <xf numFmtId="176" fontId="8" fillId="6" borderId="27" xfId="1" applyNumberFormat="1" applyFont="1" applyFill="1" applyBorder="1" applyAlignment="1">
      <alignment horizontal="center"/>
    </xf>
    <xf numFmtId="176" fontId="8" fillId="6" borderId="34" xfId="1" applyNumberFormat="1" applyFont="1" applyFill="1" applyBorder="1" applyAlignment="1">
      <alignment horizontal="center"/>
    </xf>
    <xf numFmtId="176" fontId="66" fillId="6" borderId="35" xfId="1" applyNumberFormat="1" applyFont="1" applyFill="1" applyBorder="1" applyAlignment="1"/>
    <xf numFmtId="176" fontId="66" fillId="6" borderId="35" xfId="0" applyNumberFormat="1" applyFont="1" applyFill="1" applyBorder="1"/>
    <xf numFmtId="9" fontId="69" fillId="6" borderId="34" xfId="2" applyFont="1" applyFill="1" applyBorder="1" applyAlignment="1">
      <alignment horizontal="center" vertical="center"/>
    </xf>
    <xf numFmtId="9" fontId="70" fillId="0" borderId="34" xfId="2" applyFont="1" applyBorder="1" applyAlignment="1">
      <alignment horizontal="center" vertical="center"/>
    </xf>
    <xf numFmtId="9" fontId="70" fillId="0" borderId="34" xfId="2" applyFont="1" applyBorder="1" applyAlignment="1"/>
    <xf numFmtId="9" fontId="71" fillId="0" borderId="32" xfId="2" applyFont="1" applyBorder="1" applyAlignment="1"/>
    <xf numFmtId="9" fontId="71" fillId="0" borderId="34" xfId="2" applyFont="1" applyBorder="1" applyAlignment="1"/>
    <xf numFmtId="9" fontId="71" fillId="0" borderId="32" xfId="2" applyFont="1" applyBorder="1" applyAlignment="1">
      <alignment horizontal="center" vertical="center"/>
    </xf>
    <xf numFmtId="9" fontId="71" fillId="0" borderId="34" xfId="2" applyFont="1" applyBorder="1" applyAlignment="1">
      <alignment horizontal="center" vertical="center"/>
    </xf>
    <xf numFmtId="9" fontId="71" fillId="0" borderId="30" xfId="2" applyFont="1" applyBorder="1" applyAlignment="1">
      <alignment horizontal="center" vertical="center"/>
    </xf>
    <xf numFmtId="9" fontId="71" fillId="0" borderId="30" xfId="2" applyFont="1" applyBorder="1" applyAlignment="1"/>
    <xf numFmtId="9" fontId="70" fillId="0" borderId="30" xfId="2" applyFont="1" applyBorder="1" applyAlignment="1">
      <alignment horizontal="center" vertical="center"/>
    </xf>
    <xf numFmtId="9" fontId="72" fillId="6" borderId="34" xfId="2" applyFont="1" applyFill="1" applyBorder="1" applyAlignment="1">
      <alignment horizontal="center" vertical="center"/>
    </xf>
    <xf numFmtId="9" fontId="71" fillId="0" borderId="32" xfId="2" applyFont="1" applyBorder="1" applyAlignment="1">
      <alignment horizontal="center"/>
    </xf>
    <xf numFmtId="9" fontId="66" fillId="0" borderId="34" xfId="2" applyFont="1" applyBorder="1" applyAlignment="1">
      <alignment horizontal="center"/>
    </xf>
    <xf numFmtId="9" fontId="67" fillId="0" borderId="34" xfId="2" applyFont="1" applyBorder="1" applyAlignment="1">
      <alignment horizontal="center"/>
    </xf>
    <xf numFmtId="9" fontId="71" fillId="6" borderId="34" xfId="2" applyFont="1" applyFill="1" applyBorder="1" applyAlignment="1">
      <alignment horizontal="center"/>
    </xf>
    <xf numFmtId="9" fontId="71" fillId="0" borderId="34" xfId="2" applyFont="1" applyBorder="1" applyAlignment="1">
      <alignment horizontal="center"/>
    </xf>
    <xf numFmtId="9" fontId="10" fillId="0" borderId="36" xfId="2" applyFont="1" applyBorder="1" applyAlignment="1">
      <alignment horizontal="center"/>
    </xf>
    <xf numFmtId="9" fontId="71" fillId="0" borderId="30" xfId="2" applyFont="1" applyBorder="1" applyAlignment="1">
      <alignment horizontal="center"/>
    </xf>
    <xf numFmtId="9" fontId="70" fillId="6" borderId="34" xfId="2" applyFont="1" applyFill="1" applyBorder="1" applyAlignment="1">
      <alignment horizontal="center"/>
    </xf>
    <xf numFmtId="9" fontId="70" fillId="0" borderId="34" xfId="2" applyFont="1" applyBorder="1" applyAlignment="1">
      <alignment horizontal="center"/>
    </xf>
    <xf numFmtId="3" fontId="62" fillId="0" borderId="0" xfId="3" applyNumberFormat="1" applyFont="1" applyBorder="1" applyAlignment="1"/>
    <xf numFmtId="176" fontId="55" fillId="6" borderId="11" xfId="1" applyNumberFormat="1" applyFont="1" applyFill="1" applyBorder="1" applyAlignment="1">
      <alignment horizontal="center" vertical="center"/>
    </xf>
    <xf numFmtId="176" fontId="55" fillId="6" borderId="20" xfId="1" applyNumberFormat="1" applyFont="1" applyFill="1" applyBorder="1" applyAlignment="1">
      <alignment horizontal="center" vertical="center"/>
    </xf>
    <xf numFmtId="176" fontId="46" fillId="6" borderId="14" xfId="1" applyNumberFormat="1" applyFont="1" applyFill="1" applyBorder="1" applyAlignment="1">
      <alignment horizontal="right"/>
    </xf>
    <xf numFmtId="0" fontId="49" fillId="0" borderId="13" xfId="3" applyFont="1" applyBorder="1" applyAlignment="1">
      <alignment vertical="center"/>
    </xf>
    <xf numFmtId="176" fontId="66" fillId="0" borderId="34" xfId="0" applyNumberFormat="1" applyFont="1" applyBorder="1"/>
    <xf numFmtId="176" fontId="66" fillId="0" borderId="28" xfId="1" applyNumberFormat="1" applyFont="1" applyBorder="1" applyAlignment="1">
      <alignment horizontal="center"/>
    </xf>
    <xf numFmtId="9" fontId="71" fillId="0" borderId="28" xfId="2" applyFont="1" applyBorder="1" applyAlignment="1">
      <alignment horizontal="center" vertical="center"/>
    </xf>
    <xf numFmtId="9" fontId="71" fillId="0" borderId="28" xfId="2" applyFont="1" applyBorder="1" applyAlignment="1">
      <alignment horizontal="center"/>
    </xf>
    <xf numFmtId="176" fontId="66" fillId="0" borderId="2" xfId="0" applyNumberFormat="1" applyFont="1" applyBorder="1"/>
    <xf numFmtId="176" fontId="66" fillId="6" borderId="39" xfId="0" applyNumberFormat="1" applyFont="1" applyFill="1" applyBorder="1"/>
    <xf numFmtId="176" fontId="66" fillId="0" borderId="38" xfId="0" applyNumberFormat="1" applyFont="1" applyBorder="1"/>
    <xf numFmtId="9" fontId="70" fillId="0" borderId="28" xfId="2" applyFont="1" applyBorder="1" applyAlignment="1">
      <alignment horizontal="center" vertical="center"/>
    </xf>
    <xf numFmtId="9" fontId="70" fillId="0" borderId="36" xfId="2" applyFont="1" applyBorder="1" applyAlignment="1">
      <alignment horizontal="center" vertical="center"/>
    </xf>
    <xf numFmtId="176" fontId="66" fillId="0" borderId="28" xfId="0" applyNumberFormat="1" applyFont="1" applyBorder="1"/>
    <xf numFmtId="9" fontId="70" fillId="0" borderId="28" xfId="2" applyFont="1" applyBorder="1" applyAlignment="1">
      <alignment horizontal="center"/>
    </xf>
    <xf numFmtId="9" fontId="70" fillId="0" borderId="36" xfId="2" applyFont="1" applyBorder="1" applyAlignment="1">
      <alignment horizontal="center"/>
    </xf>
    <xf numFmtId="9" fontId="70" fillId="0" borderId="30" xfId="2" applyFont="1" applyBorder="1" applyAlignment="1">
      <alignment horizontal="center"/>
    </xf>
    <xf numFmtId="3" fontId="10" fillId="0" borderId="37" xfId="0" applyNumberFormat="1" applyFont="1" applyBorder="1"/>
    <xf numFmtId="9" fontId="71" fillId="6" borderId="34" xfId="2" applyFont="1" applyFill="1" applyBorder="1" applyAlignment="1"/>
    <xf numFmtId="176" fontId="67" fillId="0" borderId="34" xfId="1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4" fontId="47" fillId="0" borderId="0" xfId="3" applyNumberFormat="1" applyFont="1" applyBorder="1" applyAlignment="1">
      <alignment horizontal="center" vertical="top" wrapText="1"/>
    </xf>
    <xf numFmtId="14" fontId="47" fillId="0" borderId="3" xfId="3" applyNumberFormat="1" applyFont="1" applyBorder="1" applyAlignment="1">
      <alignment horizontal="center" vertical="top" wrapText="1"/>
    </xf>
    <xf numFmtId="14" fontId="47" fillId="0" borderId="3" xfId="3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C724F0A3-4EC9-43C5-AF11-5837B9554C5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y.zhou\D\ACD\Project%20Y\DD\business%20plan\2022-2025%20key%20figure&#26684;&#24335;consumption%20&amp;%20billingV4-SRI03.xlsx" TargetMode="External"/><Relationship Id="rId1" Type="http://schemas.openxmlformats.org/officeDocument/2006/relationships/externalLinkPath" Target="/Users/joey.zhou/D/ACD/Project%20Y/DD/business%20plan/2022-2025%20key%20figure&#26684;&#24335;consumption%20&amp;%20billingV4-SRI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y.zhou\D\ACD\Project%20Y\DD\business%20plan\2022-2025%20key%20figure&#26684;&#24335;consumption%20&amp;%20billingV5-SRI05V3+2026PB.xlsx" TargetMode="External"/><Relationship Id="rId1" Type="http://schemas.openxmlformats.org/officeDocument/2006/relationships/externalLinkPath" Target="/Users/joey.zhou/D/ACD/Project%20Y/DD/business%20plan/2022-2025%20key%20figure&#26684;&#24335;consumption%20&amp;%20billingV5-SRI05V3+2026P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y.zhou\D\ACD\Project%20Y\DD\business%20plan\2022-2025%20key%20figure&#26684;&#24335;consumption%20&amp;%20billingV5-SRI05V3+2026PB%20V4%20-%20Copy.xlsx" TargetMode="External"/><Relationship Id="rId1" Type="http://schemas.openxmlformats.org/officeDocument/2006/relationships/externalLinkPath" Target="/Users/joey.zhou/D/ACD/Project%20Y/DD/business%20plan/2022-2025%20key%20figure&#26684;&#24335;consumption%20&amp;%20billingV5-SRI05V3+2026PB%20V4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0102微调 (2)"/>
      <sheetName val="0225 SRI03"/>
      <sheetName val="2025年一季度指标 1231"/>
      <sheetName val="Q1 bottom up"/>
      <sheetName val="2025年一季度指标原"/>
      <sheetName val="新老客vs线上线下"/>
      <sheetName val="consumption-2022-2025 retrend"/>
      <sheetName val="1227加数"/>
      <sheetName val="consumption-2022-2025 retrend-s"/>
      <sheetName val="20250102微调"/>
      <sheetName val="V1加数"/>
      <sheetName val="by医生by clinic消耗2023-2025"/>
      <sheetName val="billing 2022-2025 retrend"/>
      <sheetName val="consumption-2022-2025"/>
      <sheetName val="billing 2022-2025"/>
      <sheetName val="Sheet1"/>
    </sheetNames>
    <sheetDataSet>
      <sheetData sheetId="0"/>
      <sheetData sheetId="1">
        <row r="85">
          <cell r="G85">
            <v>3702.0244475502059</v>
          </cell>
        </row>
        <row r="94">
          <cell r="H94">
            <v>860.48865352034124</v>
          </cell>
        </row>
        <row r="201">
          <cell r="H201">
            <v>454.89940000000001</v>
          </cell>
        </row>
      </sheetData>
      <sheetData sheetId="2"/>
      <sheetData sheetId="3"/>
      <sheetData sheetId="4"/>
      <sheetData sheetId="5"/>
      <sheetData sheetId="6">
        <row r="222">
          <cell r="G222">
            <v>-0.12050376681620367</v>
          </cell>
          <cell r="H222">
            <v>-0.12856325601991636</v>
          </cell>
          <cell r="I222">
            <v>-0.17324673248466627</v>
          </cell>
          <cell r="J222">
            <v>-0.27746653711072067</v>
          </cell>
          <cell r="K222">
            <v>-0.20455406177856184</v>
          </cell>
        </row>
        <row r="224">
          <cell r="G224">
            <v>3539.2229900000002</v>
          </cell>
          <cell r="H224">
            <v>2817.5962199999999</v>
          </cell>
          <cell r="I224">
            <v>2850.62174</v>
          </cell>
          <cell r="J224">
            <v>2692.0084200000001</v>
          </cell>
          <cell r="K224">
            <v>1803.1077399999999</v>
          </cell>
        </row>
        <row r="225">
          <cell r="G225">
            <v>-8.4430672166914578E-2</v>
          </cell>
          <cell r="H225">
            <v>-8.7294398947619922E-2</v>
          </cell>
          <cell r="I225">
            <v>-4.8213256887894462E-2</v>
          </cell>
          <cell r="J225">
            <v>-3.3484248264188943E-2</v>
          </cell>
          <cell r="K225">
            <v>-0.1518320473788507</v>
          </cell>
        </row>
        <row r="227">
          <cell r="G227">
            <v>2965.9415800000002</v>
          </cell>
          <cell r="H227">
            <v>3519.0258100000001</v>
          </cell>
          <cell r="I227">
            <v>2356.6241199999999</v>
          </cell>
          <cell r="J227">
            <v>1654.4644499999999</v>
          </cell>
          <cell r="K227">
            <v>1896.4677899999999</v>
          </cell>
        </row>
        <row r="228">
          <cell r="G228">
            <v>-9.0691737817327089E-2</v>
          </cell>
          <cell r="H228">
            <v>0.25687085612021376</v>
          </cell>
          <cell r="I228">
            <v>-0.20356461175642415</v>
          </cell>
          <cell r="J228">
            <v>-0.46266189842281946</v>
          </cell>
          <cell r="K228">
            <v>-0.35779816231051609</v>
          </cell>
        </row>
        <row r="230">
          <cell r="G230">
            <v>661.17768000000001</v>
          </cell>
          <cell r="H230">
            <v>503.78064999999998</v>
          </cell>
          <cell r="I230">
            <v>537.05475999999999</v>
          </cell>
          <cell r="J230">
            <v>492.86734000000001</v>
          </cell>
          <cell r="K230">
            <v>353.35318000000001</v>
          </cell>
        </row>
        <row r="231">
          <cell r="G231">
            <v>-0.38810990783265575</v>
          </cell>
          <cell r="H231">
            <v>-0.75687479686405867</v>
          </cell>
          <cell r="I231">
            <v>-0.39069151435772476</v>
          </cell>
          <cell r="J231">
            <v>-0.3533129869064694</v>
          </cell>
          <cell r="K231">
            <v>4.7960977232388791E-2</v>
          </cell>
        </row>
        <row r="233">
          <cell r="G233">
            <v>722.10707000000002</v>
          </cell>
          <cell r="H233">
            <v>776.40075999999999</v>
          </cell>
          <cell r="I233">
            <v>484.73732000000001</v>
          </cell>
          <cell r="J233">
            <v>414.63961</v>
          </cell>
          <cell r="K233">
            <v>560.68736999999999</v>
          </cell>
        </row>
        <row r="234">
          <cell r="G234">
            <v>-5.1578593950990848E-2</v>
          </cell>
          <cell r="H234">
            <v>-6.5203627297582001E-3</v>
          </cell>
          <cell r="I234">
            <v>-0.30646228237207973</v>
          </cell>
          <cell r="J234">
            <v>-0.35734083867688471</v>
          </cell>
          <cell r="K234">
            <v>0.46050700870304206</v>
          </cell>
        </row>
        <row r="237">
          <cell r="G237">
            <v>-0.13358599010462735</v>
          </cell>
          <cell r="H237">
            <v>0.17760614356297166</v>
          </cell>
          <cell r="I237">
            <v>-2.6819671486094543E-2</v>
          </cell>
          <cell r="J237">
            <v>0.17480718381977622</v>
          </cell>
          <cell r="K237">
            <v>-0.75432625682815913</v>
          </cell>
        </row>
        <row r="239">
          <cell r="G239">
            <v>1253.0205000000001</v>
          </cell>
          <cell r="H239">
            <v>1460.48675</v>
          </cell>
          <cell r="I239">
            <v>1318.7823599999999</v>
          </cell>
          <cell r="J239">
            <v>949.57078000000001</v>
          </cell>
          <cell r="K239">
            <v>89.013199999999998</v>
          </cell>
        </row>
        <row r="240">
          <cell r="G240">
            <v>-0.19164444467152908</v>
          </cell>
          <cell r="H240">
            <v>0.2346914101126385</v>
          </cell>
          <cell r="I240">
            <v>1.0836166077084375E-2</v>
          </cell>
          <cell r="J240">
            <v>0.30360609050437315</v>
          </cell>
          <cell r="K240">
            <v>-0.9235093524006609</v>
          </cell>
        </row>
        <row r="242">
          <cell r="G242">
            <v>746.11495000000002</v>
          </cell>
          <cell r="H242">
            <v>681.78333999999995</v>
          </cell>
          <cell r="I242">
            <v>607.38318000000004</v>
          </cell>
          <cell r="J242">
            <v>542.96564999999998</v>
          </cell>
          <cell r="K242">
            <v>343.71944000000002</v>
          </cell>
        </row>
        <row r="243">
          <cell r="G243">
            <v>-1.4745664548522996E-2</v>
          </cell>
          <cell r="H243">
            <v>7.1484773779016741E-2</v>
          </cell>
          <cell r="I243">
            <v>-9.9643950759092825E-2</v>
          </cell>
          <cell r="J243">
            <v>1.7192471553790778E-3</v>
          </cell>
          <cell r="K243">
            <v>-0.42492822424315679</v>
          </cell>
        </row>
        <row r="246">
          <cell r="G246">
            <v>-0.12318058116297104</v>
          </cell>
          <cell r="H246">
            <v>-7.5817812613499513E-2</v>
          </cell>
          <cell r="I246">
            <v>-0.14278340049367677</v>
          </cell>
          <cell r="J246">
            <v>-0.21020030666256684</v>
          </cell>
          <cell r="K246">
            <v>-0.33262147859991564</v>
          </cell>
        </row>
        <row r="250">
          <cell r="G250">
            <v>694.88075000000003</v>
          </cell>
          <cell r="H250">
            <v>540.42359999999996</v>
          </cell>
          <cell r="I250">
            <v>496.35039999999998</v>
          </cell>
          <cell r="J250">
            <v>549.34159999999997</v>
          </cell>
          <cell r="K250">
            <v>431.79264000000001</v>
          </cell>
        </row>
        <row r="251">
          <cell r="G251">
            <v>-7.2696583361401834E-2</v>
          </cell>
          <cell r="H251">
            <v>-0.39605800897827181</v>
          </cell>
          <cell r="I251">
            <v>-0.44342969480438366</v>
          </cell>
          <cell r="J251">
            <v>-0.49323364085255206</v>
          </cell>
          <cell r="K251">
            <v>-0.58617769696487598</v>
          </cell>
        </row>
        <row r="253">
          <cell r="G253">
            <v>-9.6059030803258838E-2</v>
          </cell>
          <cell r="H253">
            <v>0.56356754573714762</v>
          </cell>
          <cell r="I253">
            <v>-0.10008359283555379</v>
          </cell>
          <cell r="J253">
            <v>-0.44605017176901607</v>
          </cell>
          <cell r="K253">
            <v>-0.23301222198767624</v>
          </cell>
        </row>
        <row r="255">
          <cell r="G255">
            <v>-0.12486203265454832</v>
          </cell>
          <cell r="H255">
            <v>-9.8054572197630585E-2</v>
          </cell>
          <cell r="I255">
            <v>-0.13697298521756573</v>
          </cell>
          <cell r="J255">
            <v>-0.23966598616791912</v>
          </cell>
          <cell r="K255">
            <v>-0.12083991059005872</v>
          </cell>
        </row>
        <row r="257">
          <cell r="G257">
            <v>-0.12677414586219915</v>
          </cell>
          <cell r="H257">
            <v>-4.6168173666264911E-2</v>
          </cell>
          <cell r="I257">
            <v>-0.11168578620977776</v>
          </cell>
          <cell r="J257">
            <v>-0.16906192309371959</v>
          </cell>
          <cell r="K257">
            <v>-0.29203142145605998</v>
          </cell>
        </row>
      </sheetData>
      <sheetData sheetId="7"/>
      <sheetData sheetId="8"/>
      <sheetData sheetId="9"/>
      <sheetData sheetId="10"/>
      <sheetData sheetId="11"/>
      <sheetData sheetId="12">
        <row r="222">
          <cell r="G222">
            <v>-8.2502003868042295E-2</v>
          </cell>
          <cell r="H222">
            <v>-0.23488214365883986</v>
          </cell>
          <cell r="I222">
            <v>-0.15510112119085429</v>
          </cell>
          <cell r="J222">
            <v>-0.32565842490744268</v>
          </cell>
          <cell r="K222">
            <v>-5.3361015925205812E-2</v>
          </cell>
        </row>
        <row r="224">
          <cell r="G224">
            <v>3211.7033299999998</v>
          </cell>
          <cell r="H224">
            <v>2370.41498</v>
          </cell>
          <cell r="I224">
            <v>2877.3127100000002</v>
          </cell>
          <cell r="J224">
            <v>2470.7524199999998</v>
          </cell>
          <cell r="K224">
            <v>1228.4357199999999</v>
          </cell>
        </row>
        <row r="225">
          <cell r="G225">
            <v>-1.5688795500359731E-2</v>
          </cell>
          <cell r="H225">
            <v>-0.25613068679459472</v>
          </cell>
          <cell r="I225">
            <v>-0.22200401886294363</v>
          </cell>
          <cell r="J225">
            <v>5.632498435747002E-2</v>
          </cell>
          <cell r="K225">
            <v>-4.8207773269663745E-2</v>
          </cell>
        </row>
        <row r="227">
          <cell r="G227">
            <v>2974.67047</v>
          </cell>
          <cell r="H227">
            <v>3512.6178</v>
          </cell>
          <cell r="I227">
            <v>3318.0576799999999</v>
          </cell>
          <cell r="J227">
            <v>1417.42562</v>
          </cell>
          <cell r="K227">
            <v>1777.1278500000001</v>
          </cell>
        </row>
        <row r="228">
          <cell r="G228">
            <v>-7.1485431576666425E-2</v>
          </cell>
          <cell r="H228">
            <v>0.14147909105799417</v>
          </cell>
          <cell r="I228">
            <v>-0.10615619317107239</v>
          </cell>
          <cell r="J228">
            <v>-0.57626766583101463</v>
          </cell>
          <cell r="K228">
            <v>-0.22420342522855008</v>
          </cell>
        </row>
        <row r="230">
          <cell r="G230">
            <v>894.25424999999996</v>
          </cell>
          <cell r="H230">
            <v>442.59879000000001</v>
          </cell>
          <cell r="I230">
            <v>861.08510000000001</v>
          </cell>
          <cell r="J230">
            <v>463.28784999999999</v>
          </cell>
          <cell r="K230">
            <v>307.25839999999999</v>
          </cell>
        </row>
        <row r="231">
          <cell r="G231">
            <v>-0.24969199551815913</v>
          </cell>
          <cell r="H231">
            <v>-0.77449853631011978</v>
          </cell>
          <cell r="I231">
            <v>-3.437109640901026E-2</v>
          </cell>
          <cell r="J231">
            <v>-0.32569192074627329</v>
          </cell>
          <cell r="K231">
            <v>0.70417704143319315</v>
          </cell>
        </row>
        <row r="233">
          <cell r="G233">
            <v>812.70942000000002</v>
          </cell>
          <cell r="H233">
            <v>625.54362000000003</v>
          </cell>
          <cell r="I233">
            <v>655.46789999999999</v>
          </cell>
          <cell r="J233">
            <v>357.49013000000002</v>
          </cell>
          <cell r="K233">
            <v>530.34115999999995</v>
          </cell>
        </row>
        <row r="234">
          <cell r="G234">
            <v>-0.139698894927617</v>
          </cell>
          <cell r="H234">
            <v>-0.27136980135454702</v>
          </cell>
          <cell r="I234">
            <v>-0.20588511200821202</v>
          </cell>
          <cell r="J234">
            <v>-0.41575272207504854</v>
          </cell>
          <cell r="K234">
            <v>0.77888155507060963</v>
          </cell>
        </row>
        <row r="237">
          <cell r="G237">
            <v>-0.2149088711344268</v>
          </cell>
          <cell r="H237">
            <v>0.35582248536361161</v>
          </cell>
          <cell r="I237">
            <v>-0.19356582704933767</v>
          </cell>
          <cell r="J237">
            <v>0.10562983142448745</v>
          </cell>
          <cell r="K237">
            <v>-0.77794033049137368</v>
          </cell>
        </row>
        <row r="239">
          <cell r="G239">
            <v>962.50890000000004</v>
          </cell>
          <cell r="H239">
            <v>1374.42302</v>
          </cell>
          <cell r="I239">
            <v>1093.6299300000001</v>
          </cell>
          <cell r="J239">
            <v>897.42012</v>
          </cell>
          <cell r="K239">
            <v>61.955800000000004</v>
          </cell>
        </row>
        <row r="240">
          <cell r="G240">
            <v>-0.24720286439125139</v>
          </cell>
          <cell r="H240">
            <v>0.48015991619402509</v>
          </cell>
          <cell r="I240">
            <v>-0.18283451139130058</v>
          </cell>
          <cell r="J240">
            <v>0.8654674340008508</v>
          </cell>
          <cell r="K240">
            <v>-0.9360270279141899</v>
          </cell>
        </row>
        <row r="242">
          <cell r="G242">
            <v>680.00092999999902</v>
          </cell>
          <cell r="H242">
            <v>732.33307000000002</v>
          </cell>
          <cell r="I242">
            <v>652.74393999999995</v>
          </cell>
          <cell r="J242">
            <v>316.06420000000003</v>
          </cell>
          <cell r="K242">
            <v>305.23835000000003</v>
          </cell>
        </row>
        <row r="243">
          <cell r="G243">
            <v>-0.16415554547435685</v>
          </cell>
          <cell r="H243">
            <v>0.17118108894868356</v>
          </cell>
          <cell r="I243">
            <v>-0.21092733683635967</v>
          </cell>
          <cell r="J243">
            <v>-0.48730862389256979</v>
          </cell>
          <cell r="K243">
            <v>-0.55447128808529123</v>
          </cell>
        </row>
        <row r="246">
          <cell r="G246">
            <v>-0.10840249353821274</v>
          </cell>
          <cell r="H246">
            <v>-0.14860762720953402</v>
          </cell>
          <cell r="I246">
            <v>-0.16247701226392175</v>
          </cell>
          <cell r="J246">
            <v>-0.2670784984891047</v>
          </cell>
          <cell r="K246">
            <v>-0.26307084424907445</v>
          </cell>
        </row>
        <row r="250">
          <cell r="G250">
            <v>701.37014999999997</v>
          </cell>
          <cell r="H250">
            <v>557.928</v>
          </cell>
          <cell r="I250">
            <v>538.73722999999995</v>
          </cell>
          <cell r="J250">
            <v>547.49599999999998</v>
          </cell>
          <cell r="K250">
            <v>462.36520000000002</v>
          </cell>
        </row>
        <row r="251">
          <cell r="G251">
            <v>-0.11983641110885501</v>
          </cell>
          <cell r="H251">
            <v>-0.44389280617402493</v>
          </cell>
          <cell r="I251">
            <v>-0.41327193462033585</v>
          </cell>
          <cell r="J251">
            <v>-0.54783642691870416</v>
          </cell>
          <cell r="K251">
            <v>-0.47504391899218101</v>
          </cell>
        </row>
        <row r="253">
          <cell r="G253">
            <v>-5.5477146324842463E-2</v>
          </cell>
          <cell r="H253">
            <v>0.4246493226387964</v>
          </cell>
          <cell r="I253">
            <v>-5.2242148814125589E-3</v>
          </cell>
          <cell r="J253">
            <v>-0.59239764225222136</v>
          </cell>
          <cell r="K253">
            <v>-6.7507455843595632E-2</v>
          </cell>
        </row>
        <row r="255">
          <cell r="G255">
            <v>-7.8690899904793943E-2</v>
          </cell>
          <cell r="H255">
            <v>-0.20893566692668963</v>
          </cell>
          <cell r="I255">
            <v>-0.12622528010452594</v>
          </cell>
          <cell r="J255">
            <v>-0.27905213080247082</v>
          </cell>
          <cell r="K255">
            <v>6.3468802569317972E-2</v>
          </cell>
        </row>
        <row r="257">
          <cell r="G257">
            <v>-0.10748201204118135</v>
          </cell>
          <cell r="H257">
            <v>-0.1178623393390672</v>
          </cell>
          <cell r="I257">
            <v>-0.14028115729250212</v>
          </cell>
          <cell r="J257">
            <v>-0.21759321719688884</v>
          </cell>
          <cell r="K257">
            <v>-0.22443762157335856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0102微调 (2)"/>
      <sheetName val="0225 SRI03"/>
      <sheetName val="0503 SRI05V3+PB"/>
      <sheetName val="0623 S2 bottom up &amp; 2026"/>
      <sheetName val="2025年一季度指标 1231"/>
      <sheetName val="Q1 bottom up"/>
      <sheetName val="2025年一季度指标原"/>
      <sheetName val="新老客vs线上线下"/>
      <sheetName val="consumption-2022-2025 retrend"/>
      <sheetName val="1227加数"/>
      <sheetName val="consumption-2022-2025 retrend-s"/>
      <sheetName val="20250102微调"/>
      <sheetName val="V1加数"/>
      <sheetName val="by医生by clinic消耗2023-2025"/>
      <sheetName val="billing 2022-2025 retrend"/>
      <sheetName val="consumption-2022-2025"/>
      <sheetName val="billing 2022-2025"/>
      <sheetName val="Sheet1"/>
    </sheetNames>
    <sheetDataSet>
      <sheetData sheetId="0"/>
      <sheetData sheetId="1"/>
      <sheetData sheetId="2">
        <row r="85">
          <cell r="J85">
            <v>3211.5173791921093</v>
          </cell>
        </row>
        <row r="88">
          <cell r="J88">
            <v>2849.0926892740317</v>
          </cell>
        </row>
        <row r="91">
          <cell r="J91">
            <v>512.98610650290084</v>
          </cell>
        </row>
        <row r="94">
          <cell r="J94">
            <v>760.40866617987592</v>
          </cell>
        </row>
        <row r="100">
          <cell r="J100">
            <v>1729.2965692260373</v>
          </cell>
        </row>
        <row r="103">
          <cell r="J103">
            <v>677.00944168424235</v>
          </cell>
        </row>
        <row r="111">
          <cell r="K111">
            <v>300</v>
          </cell>
        </row>
        <row r="175">
          <cell r="J175">
            <v>3050.9415102325038</v>
          </cell>
        </row>
        <row r="178">
          <cell r="J178">
            <v>2706.6380548103302</v>
          </cell>
        </row>
        <row r="181">
          <cell r="J181">
            <v>487.33680117775577</v>
          </cell>
        </row>
        <row r="184">
          <cell r="J184">
            <v>722.38823287088212</v>
          </cell>
        </row>
        <row r="190">
          <cell r="J190">
            <v>2142.8317407647355</v>
          </cell>
        </row>
        <row r="193">
          <cell r="J193">
            <v>743.15896960003022</v>
          </cell>
        </row>
        <row r="201">
          <cell r="J201">
            <v>454.89940000000001</v>
          </cell>
        </row>
      </sheetData>
      <sheetData sheetId="3"/>
      <sheetData sheetId="4"/>
      <sheetData sheetId="5"/>
      <sheetData sheetId="6"/>
      <sheetData sheetId="7"/>
      <sheetData sheetId="8">
        <row r="101">
          <cell r="S101">
            <v>25244.130920000021</v>
          </cell>
        </row>
        <row r="104">
          <cell r="S104">
            <v>9947.7006200000033</v>
          </cell>
        </row>
        <row r="107">
          <cell r="S107">
            <v>9020.5513500000106</v>
          </cell>
        </row>
        <row r="110">
          <cell r="S110">
            <v>4034.0703500000018</v>
          </cell>
        </row>
        <row r="113">
          <cell r="S113">
            <v>2241.8086000000012</v>
          </cell>
        </row>
        <row r="116">
          <cell r="S116">
            <v>6105.7894100000021</v>
          </cell>
        </row>
        <row r="119">
          <cell r="S119">
            <v>4037.6067800000023</v>
          </cell>
        </row>
        <row r="122">
          <cell r="S122">
            <v>2068.1826299999998</v>
          </cell>
        </row>
        <row r="125">
          <cell r="S125">
            <v>31349.920330000023</v>
          </cell>
        </row>
        <row r="130">
          <cell r="S130">
            <v>2535.9852000000001</v>
          </cell>
        </row>
        <row r="132">
          <cell r="S132">
            <v>6484.5661500000106</v>
          </cell>
        </row>
        <row r="134">
          <cell r="S134">
            <v>22708.145720000019</v>
          </cell>
        </row>
        <row r="136">
          <cell r="S136">
            <v>28813.935130000027</v>
          </cell>
        </row>
      </sheetData>
      <sheetData sheetId="9"/>
      <sheetData sheetId="10"/>
      <sheetData sheetId="11"/>
      <sheetData sheetId="12"/>
      <sheetData sheetId="13"/>
      <sheetData sheetId="14">
        <row r="101">
          <cell r="S101">
            <v>26815.844119999994</v>
          </cell>
        </row>
        <row r="104">
          <cell r="S104">
            <v>10147.860080000004</v>
          </cell>
        </row>
        <row r="107">
          <cell r="S107">
            <v>9993.0610299999953</v>
          </cell>
        </row>
        <row r="110">
          <cell r="S110">
            <v>4046.3158899999994</v>
          </cell>
        </row>
        <row r="113">
          <cell r="S113">
            <v>2628.6071199999997</v>
          </cell>
        </row>
        <row r="116">
          <cell r="S116">
            <v>5811.5351199999968</v>
          </cell>
        </row>
        <row r="119">
          <cell r="S119">
            <v>3545.461839999999</v>
          </cell>
        </row>
        <row r="122">
          <cell r="S122">
            <v>2266.0732799999969</v>
          </cell>
        </row>
        <row r="125">
          <cell r="S125">
            <v>32627.379239999995</v>
          </cell>
        </row>
        <row r="130">
          <cell r="S130">
            <v>2718.3436000000002</v>
          </cell>
        </row>
        <row r="132">
          <cell r="S132">
            <v>7274.7174299999951</v>
          </cell>
        </row>
        <row r="134">
          <cell r="S134">
            <v>24097.500519999998</v>
          </cell>
        </row>
        <row r="136">
          <cell r="S136">
            <v>29909.035639999995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0102微调 (2)"/>
      <sheetName val="0225 SRI03"/>
      <sheetName val="0503 SRI05V3+PBV2"/>
      <sheetName val="0623 S2 bottom up &amp; 2026"/>
      <sheetName val="0625 S2 BOTTOM up &amp; 2026 "/>
      <sheetName val="2025年一季度指标 1231"/>
      <sheetName val="Q1 bottom up"/>
      <sheetName val="2025年一季度指标原"/>
      <sheetName val="新老客vs线上线下"/>
      <sheetName val="consumption-2022-2025 retrend"/>
      <sheetName val="1227加数"/>
      <sheetName val="consumption-2022-2025 retrend-s"/>
      <sheetName val="20250102微调"/>
      <sheetName val="V1加数"/>
      <sheetName val="by医生by clinic消耗2023-2025"/>
      <sheetName val="billing 2022-2025 retrend"/>
      <sheetName val="consumption-2022-2025"/>
      <sheetName val="billing 2022-2025"/>
      <sheetName val="Sheet1"/>
    </sheetNames>
    <sheetDataSet>
      <sheetData sheetId="0"/>
      <sheetData sheetId="1"/>
      <sheetData sheetId="2">
        <row r="85">
          <cell r="K85">
            <v>2945.917954688729</v>
          </cell>
        </row>
        <row r="88">
          <cell r="K88">
            <v>2921.4007035682662</v>
          </cell>
        </row>
        <row r="91">
          <cell r="K91">
            <v>526.951780847431</v>
          </cell>
        </row>
        <row r="94">
          <cell r="K94">
            <v>722.70296505694739</v>
          </cell>
        </row>
        <row r="100">
          <cell r="K100">
            <v>1724.8752395137431</v>
          </cell>
        </row>
        <row r="103">
          <cell r="K103">
            <v>700.37369644448711</v>
          </cell>
        </row>
        <row r="111">
          <cell r="K111">
            <v>300</v>
          </cell>
        </row>
        <row r="175">
          <cell r="K175">
            <v>2798.6220569542925</v>
          </cell>
        </row>
        <row r="178">
          <cell r="K178">
            <v>2775.3306683898527</v>
          </cell>
        </row>
        <row r="181">
          <cell r="K181">
            <v>315.60419180505943</v>
          </cell>
        </row>
        <row r="184">
          <cell r="K184">
            <v>686.56781680409995</v>
          </cell>
        </row>
        <row r="190">
          <cell r="K190">
            <v>2338.6314775380561</v>
          </cell>
        </row>
        <row r="193">
          <cell r="K193">
            <v>765.35501162226274</v>
          </cell>
        </row>
      </sheetData>
      <sheetData sheetId="3"/>
      <sheetData sheetId="4">
        <row r="111">
          <cell r="K111">
            <v>300</v>
          </cell>
        </row>
        <row r="201">
          <cell r="K201">
            <v>300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4488-AE0F-4433-8076-9CCD471EB72D}">
  <dimension ref="B1:AM105"/>
  <sheetViews>
    <sheetView showGridLines="0" topLeftCell="T1" zoomScale="70" zoomScaleNormal="70" workbookViewId="0">
      <selection activeCell="T54" sqref="A54:XFD54"/>
    </sheetView>
  </sheetViews>
  <sheetFormatPr defaultRowHeight="14"/>
  <cols>
    <col min="1" max="1" width="5.25" customWidth="1"/>
    <col min="2" max="2" width="23.9140625" customWidth="1"/>
    <col min="3" max="3" width="20.4140625" customWidth="1"/>
    <col min="4" max="4" width="10.25" customWidth="1"/>
    <col min="5" max="5" width="9" customWidth="1"/>
    <col min="6" max="6" width="12" customWidth="1"/>
    <col min="7" max="7" width="9.9140625" customWidth="1"/>
    <col min="8" max="9" width="11.75" customWidth="1"/>
    <col min="10" max="10" width="10.4140625" style="65" customWidth="1"/>
    <col min="11" max="11" width="18.9140625" customWidth="1"/>
    <col min="12" max="12" width="16.4140625" customWidth="1"/>
    <col min="15" max="15" width="10.58203125" customWidth="1"/>
    <col min="16" max="16" width="9.5" customWidth="1"/>
    <col min="17" max="17" width="12.4140625" customWidth="1"/>
    <col min="18" max="18" width="10.25" customWidth="1"/>
    <col min="19" max="19" width="11.08203125" style="68" customWidth="1"/>
    <col min="20" max="20" width="18.9140625" customWidth="1"/>
    <col min="21" max="21" width="16.4140625" customWidth="1"/>
    <col min="24" max="25" width="10.58203125" customWidth="1"/>
    <col min="26" max="26" width="10.58203125" bestFit="1" customWidth="1"/>
    <col min="27" max="27" width="9.33203125" customWidth="1"/>
    <col min="28" max="28" width="11" style="68" customWidth="1"/>
    <col min="29" max="30" width="9.75" customWidth="1"/>
    <col min="31" max="32" width="11.08203125" customWidth="1"/>
    <col min="33" max="33" width="11.58203125" customWidth="1"/>
    <col min="34" max="34" width="10.4140625" customWidth="1"/>
    <col min="36" max="36" width="9.6640625" bestFit="1" customWidth="1"/>
  </cols>
  <sheetData>
    <row r="1" spans="2:36" ht="20">
      <c r="B1" s="71" t="s">
        <v>20</v>
      </c>
      <c r="F1" s="455" t="s">
        <v>73</v>
      </c>
      <c r="G1" s="455"/>
      <c r="H1" s="455"/>
      <c r="I1" s="455"/>
      <c r="O1" s="455" t="s">
        <v>73</v>
      </c>
      <c r="P1" s="455"/>
      <c r="Q1" s="455"/>
      <c r="R1" s="455"/>
      <c r="X1" s="455" t="s">
        <v>73</v>
      </c>
      <c r="Y1" s="455"/>
      <c r="Z1" s="455"/>
      <c r="AA1" s="455"/>
      <c r="AE1" s="96" t="s">
        <v>76</v>
      </c>
    </row>
    <row r="2" spans="2:36" s="33" customFormat="1" ht="13">
      <c r="B2" s="441" t="s">
        <v>17</v>
      </c>
      <c r="C2" s="442"/>
      <c r="D2" s="445" t="s">
        <v>29</v>
      </c>
      <c r="E2" s="446"/>
      <c r="F2" s="447" t="s">
        <v>25</v>
      </c>
      <c r="G2" s="448"/>
      <c r="H2" s="453" t="s">
        <v>71</v>
      </c>
      <c r="I2" s="454"/>
      <c r="J2" s="66"/>
      <c r="K2" s="441" t="s">
        <v>53</v>
      </c>
      <c r="L2" s="442"/>
      <c r="M2" s="445" t="s">
        <v>32</v>
      </c>
      <c r="N2" s="446"/>
      <c r="O2" s="447" t="s">
        <v>34</v>
      </c>
      <c r="P2" s="448"/>
      <c r="Q2" s="451" t="s">
        <v>74</v>
      </c>
      <c r="R2" s="452"/>
      <c r="S2" s="69"/>
      <c r="T2" s="441" t="s">
        <v>53</v>
      </c>
      <c r="U2" s="442"/>
      <c r="V2" s="445" t="s">
        <v>38</v>
      </c>
      <c r="W2" s="446"/>
      <c r="X2" s="447" t="s">
        <v>40</v>
      </c>
      <c r="Y2" s="448"/>
      <c r="Z2" s="451" t="s">
        <v>75</v>
      </c>
      <c r="AA2" s="452"/>
      <c r="AB2" s="69"/>
      <c r="AC2" s="445" t="s">
        <v>47</v>
      </c>
      <c r="AD2" s="446"/>
      <c r="AE2" s="447" t="s">
        <v>49</v>
      </c>
      <c r="AF2" s="448"/>
      <c r="AG2" s="449" t="s">
        <v>77</v>
      </c>
      <c r="AH2" s="450"/>
    </row>
    <row r="3" spans="2:36" s="33" customFormat="1" ht="26">
      <c r="B3" s="443"/>
      <c r="C3" s="444"/>
      <c r="D3" s="6" t="s">
        <v>24</v>
      </c>
      <c r="E3" s="75" t="s">
        <v>26</v>
      </c>
      <c r="F3" s="88" t="s">
        <v>24</v>
      </c>
      <c r="G3" s="89" t="s">
        <v>26</v>
      </c>
      <c r="H3" s="6" t="s">
        <v>24</v>
      </c>
      <c r="I3" s="7" t="s">
        <v>12</v>
      </c>
      <c r="J3" s="127" t="s">
        <v>72</v>
      </c>
      <c r="K3" s="443"/>
      <c r="L3" s="444"/>
      <c r="M3" s="32" t="s">
        <v>33</v>
      </c>
      <c r="N3" s="75" t="s">
        <v>26</v>
      </c>
      <c r="O3" s="90" t="s">
        <v>33</v>
      </c>
      <c r="P3" s="89" t="s">
        <v>26</v>
      </c>
      <c r="Q3" s="32" t="s">
        <v>33</v>
      </c>
      <c r="R3" s="75" t="s">
        <v>26</v>
      </c>
      <c r="S3" s="127" t="s">
        <v>72</v>
      </c>
      <c r="T3" s="443"/>
      <c r="U3" s="444"/>
      <c r="V3" s="85" t="s">
        <v>39</v>
      </c>
      <c r="W3" s="75" t="s">
        <v>26</v>
      </c>
      <c r="X3" s="91" t="s">
        <v>39</v>
      </c>
      <c r="Y3" s="89" t="s">
        <v>26</v>
      </c>
      <c r="Z3" s="85" t="s">
        <v>39</v>
      </c>
      <c r="AA3" s="75" t="s">
        <v>26</v>
      </c>
      <c r="AB3" s="127" t="s">
        <v>72</v>
      </c>
      <c r="AC3" s="85" t="s">
        <v>48</v>
      </c>
      <c r="AD3" s="75" t="s">
        <v>26</v>
      </c>
      <c r="AE3" s="91" t="s">
        <v>48</v>
      </c>
      <c r="AF3" s="89" t="s">
        <v>26</v>
      </c>
      <c r="AG3" s="85" t="s">
        <v>48</v>
      </c>
      <c r="AH3" s="75" t="s">
        <v>26</v>
      </c>
      <c r="AI3" s="127" t="s">
        <v>72</v>
      </c>
    </row>
    <row r="4" spans="2:36" s="33" customFormat="1" ht="13">
      <c r="B4" s="72" t="s">
        <v>21</v>
      </c>
      <c r="C4" s="21"/>
      <c r="D4" s="22">
        <v>12147.977429999988</v>
      </c>
      <c r="E4" s="23">
        <v>0.55163040147280995</v>
      </c>
      <c r="F4" s="22">
        <f>F5+F12</f>
        <v>12642.619826</v>
      </c>
      <c r="G4" s="77">
        <f t="shared" ref="G4:G16" si="0">F4/D4-1</f>
        <v>4.0718086516893681E-2</v>
      </c>
      <c r="H4" s="22">
        <f>H5+H12</f>
        <v>9739.9654899999987</v>
      </c>
      <c r="I4" s="24">
        <f>H4/D4-1</f>
        <v>-0.19822328069636463</v>
      </c>
      <c r="J4" s="66">
        <f>H4/F4</f>
        <v>0.77040721180031146</v>
      </c>
      <c r="K4" s="20" t="s">
        <v>13</v>
      </c>
      <c r="L4" s="21"/>
      <c r="M4" s="22">
        <v>6161.8071500000005</v>
      </c>
      <c r="N4" s="23">
        <v>-0.47726732236295033</v>
      </c>
      <c r="O4" s="22">
        <f>O5+O12</f>
        <v>7348.9939121889183</v>
      </c>
      <c r="P4" s="24">
        <f t="shared" ref="P4:P16" si="1">O4/M4-1</f>
        <v>0.19266860083229287</v>
      </c>
      <c r="Q4" s="22">
        <f>Q5+Q12</f>
        <v>5659.6652999999988</v>
      </c>
      <c r="R4" s="24">
        <f>Q4/M4-1</f>
        <v>-8.1492626720718109E-2</v>
      </c>
      <c r="S4" s="66">
        <f>Q4/O4</f>
        <v>0.77012790697961697</v>
      </c>
      <c r="T4" s="20" t="s">
        <v>13</v>
      </c>
      <c r="U4" s="21"/>
      <c r="V4" s="22">
        <v>10167.270140000001</v>
      </c>
      <c r="W4" s="23">
        <v>-0.15920278091447493</v>
      </c>
      <c r="X4" s="22">
        <f>X5+X12</f>
        <v>11820</v>
      </c>
      <c r="Y4" s="24">
        <f>X4/V4-1</f>
        <v>0.16255394390455336</v>
      </c>
      <c r="Z4" s="22">
        <f>Z5+Z12</f>
        <v>8868.0326600000008</v>
      </c>
      <c r="AA4" s="24">
        <f>Z4/V4-1</f>
        <v>-0.12778626535047488</v>
      </c>
      <c r="AB4" s="66">
        <f>Z4/X4</f>
        <v>0.75025657021996617</v>
      </c>
      <c r="AC4" s="22">
        <f>AC5+AC12</f>
        <v>28477.054719999989</v>
      </c>
      <c r="AD4" s="23">
        <v>-0.10193279295859492</v>
      </c>
      <c r="AE4" s="22">
        <f>AE5+AE12</f>
        <v>31811.61373818892</v>
      </c>
      <c r="AF4" s="24">
        <f>AE4/AC4-1</f>
        <v>0.11709634479323472</v>
      </c>
      <c r="AG4" s="22">
        <f>AG5+AG12</f>
        <v>24267.663449999996</v>
      </c>
      <c r="AH4" s="24">
        <f>AG4/AC4-1</f>
        <v>-0.14781694635869969</v>
      </c>
      <c r="AI4" s="59">
        <f>AG4/AE4</f>
        <v>0.76285546686578087</v>
      </c>
      <c r="AJ4" s="58"/>
    </row>
    <row r="5" spans="2:36" s="33" customFormat="1" ht="13">
      <c r="B5" s="73" t="s">
        <v>22</v>
      </c>
      <c r="C5" s="26"/>
      <c r="D5" s="27">
        <v>9814.6540499999901</v>
      </c>
      <c r="E5" s="28">
        <v>0.68538142791673806</v>
      </c>
      <c r="F5" s="27">
        <f>F6+F7+F10+F11</f>
        <v>10042.619826</v>
      </c>
      <c r="G5" s="78">
        <f t="shared" si="0"/>
        <v>2.3227082160884649E-2</v>
      </c>
      <c r="H5" s="27">
        <f>H6+H7+H10+H11</f>
        <v>8162.1414400000003</v>
      </c>
      <c r="I5" s="29">
        <f>H5/D5-1</f>
        <v>-0.16837196722180869</v>
      </c>
      <c r="J5" s="66">
        <f t="shared" ref="J5:J16" si="2">H5/F5</f>
        <v>0.8127502167182008</v>
      </c>
      <c r="K5" s="25" t="s">
        <v>14</v>
      </c>
      <c r="L5" s="26"/>
      <c r="M5" s="27">
        <v>4669.0342700000001</v>
      </c>
      <c r="N5" s="28">
        <v>-0.51345122219134676</v>
      </c>
      <c r="O5" s="27">
        <f>O6+O7+O10+O11</f>
        <v>5448.9939121889183</v>
      </c>
      <c r="P5" s="29">
        <f t="shared" si="1"/>
        <v>0.16704945757207268</v>
      </c>
      <c r="Q5" s="27">
        <f>Q6+Q7+Q10+Q11</f>
        <v>4345.9196399999983</v>
      </c>
      <c r="R5" s="29">
        <f>Q5/M5-1</f>
        <v>-6.9203739213505866E-2</v>
      </c>
      <c r="S5" s="66">
        <f t="shared" ref="S5:S16" si="3">Q5/O5</f>
        <v>0.79756368056836324</v>
      </c>
      <c r="T5" s="25" t="s">
        <v>14</v>
      </c>
      <c r="U5" s="26"/>
      <c r="V5" s="27">
        <v>7898.4280600000002</v>
      </c>
      <c r="W5" s="28">
        <v>-0.20704359835381347</v>
      </c>
      <c r="X5" s="27">
        <f>X6+X7+X10+X11</f>
        <v>8240</v>
      </c>
      <c r="Y5" s="29">
        <f>X5/V5-1</f>
        <v>4.3245559420844959E-2</v>
      </c>
      <c r="Z5" s="27">
        <f>Z6+Z7+Z10+Z11</f>
        <v>7246.5617699999993</v>
      </c>
      <c r="AA5" s="29">
        <f>Z5/V5-1</f>
        <v>-8.2531142278961411E-2</v>
      </c>
      <c r="AB5" s="66">
        <f t="shared" ref="AB5:AB16" si="4">Z5/X5</f>
        <v>0.87943710800970865</v>
      </c>
      <c r="AC5" s="27">
        <f>AC6+AC7+AC10+AC11</f>
        <v>22382.116379999989</v>
      </c>
      <c r="AD5" s="28">
        <v>-3.695369947532845E-2</v>
      </c>
      <c r="AE5" s="27">
        <f>AE6+AE7+AE10+AE11</f>
        <v>23731.61373818892</v>
      </c>
      <c r="AF5" s="29">
        <f>AE5/AC5-1</f>
        <v>6.0293554696856155E-2</v>
      </c>
      <c r="AG5" s="27">
        <f>AG6+AG7+AG10+AG11</f>
        <v>19754.622849999996</v>
      </c>
      <c r="AH5" s="29">
        <f>AG5/AC5-1</f>
        <v>-0.11739254167884883</v>
      </c>
      <c r="AI5" s="59">
        <f t="shared" ref="AI5:AI16" si="5">AG5/AE5</f>
        <v>0.83241801707782104</v>
      </c>
      <c r="AJ5" s="58"/>
    </row>
    <row r="6" spans="2:36" s="33" customFormat="1" ht="13">
      <c r="B6" s="3" t="s">
        <v>5</v>
      </c>
      <c r="C6" s="11" t="s">
        <v>1</v>
      </c>
      <c r="D6" s="8">
        <v>3902.38166</v>
      </c>
      <c r="E6" s="9">
        <v>0.614845570542075</v>
      </c>
      <c r="F6" s="8">
        <v>4292.6198260000001</v>
      </c>
      <c r="G6" s="79">
        <f t="shared" si="0"/>
        <v>0.10000000000000009</v>
      </c>
      <c r="H6" s="8">
        <v>4060.5213399999989</v>
      </c>
      <c r="I6" s="9">
        <f>H6/D6-1</f>
        <v>4.0523888685966902E-2</v>
      </c>
      <c r="J6" s="66">
        <f t="shared" si="2"/>
        <v>0.94593080789633355</v>
      </c>
      <c r="K6" s="3" t="s">
        <v>5</v>
      </c>
      <c r="L6" s="11" t="s">
        <v>1</v>
      </c>
      <c r="M6" s="8">
        <v>2087.1024699999998</v>
      </c>
      <c r="N6" s="9">
        <v>-0.44737158429885082</v>
      </c>
      <c r="O6" s="8">
        <v>2366.2032707874073</v>
      </c>
      <c r="P6" s="9">
        <f t="shared" si="1"/>
        <v>0.13372644841314729</v>
      </c>
      <c r="Q6" s="8">
        <v>2241.26199</v>
      </c>
      <c r="R6" s="9">
        <f>Q6/M6-1</f>
        <v>7.3862937836492559E-2</v>
      </c>
      <c r="S6" s="66">
        <f t="shared" si="3"/>
        <v>0.94719757075399935</v>
      </c>
      <c r="T6" s="3" t="s">
        <v>5</v>
      </c>
      <c r="U6" s="11" t="s">
        <v>1</v>
      </c>
      <c r="V6" s="8">
        <v>3132.66275</v>
      </c>
      <c r="W6" s="9">
        <v>-0.2762172659549762</v>
      </c>
      <c r="X6" s="8">
        <v>3500</v>
      </c>
      <c r="Y6" s="9">
        <f>X6/V6-1</f>
        <v>0.11726038814743145</v>
      </c>
      <c r="Z6" s="8">
        <v>3939.8882500000018</v>
      </c>
      <c r="AA6" s="9">
        <f>Z6/V6-1</f>
        <v>0.25768030727214475</v>
      </c>
      <c r="AB6" s="66">
        <f t="shared" si="4"/>
        <v>1.1256823571428576</v>
      </c>
      <c r="AC6" s="8">
        <f t="shared" ref="AC6:AC11" si="6">D6+M6+V6</f>
        <v>9122.1468800000002</v>
      </c>
      <c r="AD6" s="9">
        <v>-0.13299369131430339</v>
      </c>
      <c r="AE6" s="8">
        <f>F6+O6+X6</f>
        <v>10158.823096787408</v>
      </c>
      <c r="AF6" s="9">
        <f>AE6/AC6-1</f>
        <v>0.11364388563620764</v>
      </c>
      <c r="AG6" s="8">
        <f t="shared" ref="AG6:AG11" si="7">H6+Q6+Z6</f>
        <v>10241.67158</v>
      </c>
      <c r="AH6" s="9">
        <f>AG6/AC6-1</f>
        <v>0.12272601118213955</v>
      </c>
      <c r="AI6" s="59">
        <f t="shared" si="5"/>
        <v>1.0081553229565334</v>
      </c>
      <c r="AJ6" s="58"/>
    </row>
    <row r="7" spans="2:36" s="33" customFormat="1" ht="13">
      <c r="B7" s="38" t="s">
        <v>18</v>
      </c>
      <c r="C7" s="4" t="s">
        <v>2</v>
      </c>
      <c r="D7" s="8">
        <v>4005.00395999999</v>
      </c>
      <c r="E7" s="10">
        <v>0.61238876657224095</v>
      </c>
      <c r="F7" s="8">
        <v>3900</v>
      </c>
      <c r="G7" s="80">
        <f t="shared" si="0"/>
        <v>-2.6218191304857141E-2</v>
      </c>
      <c r="H7" s="8">
        <v>3041.3044900000004</v>
      </c>
      <c r="I7" s="10">
        <f>H7/D7-1</f>
        <v>-0.24062384947054882</v>
      </c>
      <c r="J7" s="66">
        <f t="shared" si="2"/>
        <v>0.77982166410256426</v>
      </c>
      <c r="K7" s="12" t="s">
        <v>6</v>
      </c>
      <c r="L7" s="4" t="s">
        <v>2</v>
      </c>
      <c r="M7" s="8">
        <v>1826.41254</v>
      </c>
      <c r="N7" s="10">
        <v>-0.5359491151270479</v>
      </c>
      <c r="O7" s="8">
        <v>2043.790641401511</v>
      </c>
      <c r="P7" s="10">
        <f t="shared" si="1"/>
        <v>0.11901916825511449</v>
      </c>
      <c r="Q7" s="8">
        <v>1406.4576599999984</v>
      </c>
      <c r="R7" s="10">
        <f>Q7/M7-1</f>
        <v>-0.22993429512918351</v>
      </c>
      <c r="S7" s="66">
        <f t="shared" si="3"/>
        <v>0.6881613172646357</v>
      </c>
      <c r="T7" s="12" t="s">
        <v>6</v>
      </c>
      <c r="U7" s="4" t="s">
        <v>2</v>
      </c>
      <c r="V7" s="8">
        <v>3254.1744199999998</v>
      </c>
      <c r="W7" s="10">
        <v>-0.17509326764095001</v>
      </c>
      <c r="X7" s="8">
        <v>3200</v>
      </c>
      <c r="Y7" s="10">
        <f>X7/V7-1</f>
        <v>-1.6647669426397838E-2</v>
      </c>
      <c r="Z7" s="8">
        <v>2236.1863099999973</v>
      </c>
      <c r="AA7" s="10">
        <f>Z7/V7-1</f>
        <v>-0.31282530639522466</v>
      </c>
      <c r="AB7" s="66">
        <f t="shared" si="4"/>
        <v>0.69880822187499914</v>
      </c>
      <c r="AC7" s="8">
        <f t="shared" si="6"/>
        <v>9085.5909199999896</v>
      </c>
      <c r="AD7" s="10">
        <v>-0.12340141623550027</v>
      </c>
      <c r="AE7" s="8">
        <f t="shared" ref="AE7:AE14" si="8">F7+O7+X7</f>
        <v>9143.7906414015106</v>
      </c>
      <c r="AF7" s="10">
        <f>AE7/AC7-1</f>
        <v>6.4057166907445229E-3</v>
      </c>
      <c r="AG7" s="8">
        <f t="shared" si="7"/>
        <v>6683.948459999996</v>
      </c>
      <c r="AH7" s="10">
        <f>AG7/AC7-1</f>
        <v>-0.26433530643706293</v>
      </c>
      <c r="AI7" s="59">
        <f t="shared" si="5"/>
        <v>0.73098222850118932</v>
      </c>
      <c r="AJ7" s="58"/>
    </row>
    <row r="8" spans="2:36" s="33" customFormat="1" ht="12.5">
      <c r="B8" s="39" t="s">
        <v>27</v>
      </c>
      <c r="C8" s="4"/>
      <c r="D8" s="8">
        <v>721.38980000000004</v>
      </c>
      <c r="E8" s="41">
        <v>0.49588718520398611</v>
      </c>
      <c r="F8" s="8">
        <v>300</v>
      </c>
      <c r="G8" s="80">
        <f t="shared" si="0"/>
        <v>-0.58413606624324332</v>
      </c>
      <c r="H8" s="8">
        <v>408.320729999999</v>
      </c>
      <c r="I8" s="10"/>
      <c r="J8" s="66"/>
      <c r="K8" s="39" t="s">
        <v>27</v>
      </c>
      <c r="L8" s="4"/>
      <c r="M8" s="40">
        <v>461.8415</v>
      </c>
      <c r="N8" s="41">
        <v>-0.55601406053451374</v>
      </c>
      <c r="O8" s="8">
        <v>300</v>
      </c>
      <c r="P8" s="10">
        <f t="shared" si="1"/>
        <v>-0.35042649913444335</v>
      </c>
      <c r="Q8" s="8">
        <v>319.58454999999998</v>
      </c>
      <c r="R8" s="10"/>
      <c r="S8" s="66"/>
      <c r="T8" s="39" t="s">
        <v>27</v>
      </c>
      <c r="U8" s="4"/>
      <c r="V8" s="8">
        <v>845.60047999999995</v>
      </c>
      <c r="W8" s="41">
        <v>-6.1513785395759912E-2</v>
      </c>
      <c r="X8" s="8">
        <v>300</v>
      </c>
      <c r="Y8" s="10"/>
      <c r="Z8" s="8">
        <v>518.40341000000001</v>
      </c>
      <c r="AA8" s="10"/>
      <c r="AB8" s="66"/>
      <c r="AC8" s="8">
        <f t="shared" si="6"/>
        <v>2028.83178</v>
      </c>
      <c r="AD8" s="41">
        <v>-0.16284750846846452</v>
      </c>
      <c r="AE8" s="8">
        <f t="shared" si="8"/>
        <v>900</v>
      </c>
      <c r="AF8" s="10"/>
      <c r="AG8" s="8">
        <f t="shared" si="7"/>
        <v>1246.3086899999989</v>
      </c>
      <c r="AH8" s="10"/>
      <c r="AI8" s="59"/>
      <c r="AJ8" s="58"/>
    </row>
    <row r="9" spans="2:36" s="33" customFormat="1" ht="13.5">
      <c r="B9" s="76" t="s">
        <v>28</v>
      </c>
      <c r="C9" s="4"/>
      <c r="D9" s="8">
        <v>3283.6141599999901</v>
      </c>
      <c r="E9" s="41">
        <v>0.6404570412710251</v>
      </c>
      <c r="F9" s="8">
        <f>F7-F8</f>
        <v>3600</v>
      </c>
      <c r="G9" s="80">
        <f t="shared" si="0"/>
        <v>9.6352928384256575E-2</v>
      </c>
      <c r="H9" s="8">
        <f>H7-H8</f>
        <v>2632.9837600000014</v>
      </c>
      <c r="I9" s="10">
        <f t="shared" ref="I9:I16" si="9">H9/D9-1</f>
        <v>-0.19814459564883546</v>
      </c>
      <c r="J9" s="66">
        <f t="shared" si="2"/>
        <v>0.73138437777777821</v>
      </c>
      <c r="K9" s="76" t="s">
        <v>28</v>
      </c>
      <c r="L9" s="4"/>
      <c r="M9" s="40">
        <v>1364.57104</v>
      </c>
      <c r="N9" s="41">
        <v>-0.52874094077958245</v>
      </c>
      <c r="O9" s="8">
        <f>O7-O8</f>
        <v>1743.790641401511</v>
      </c>
      <c r="P9" s="10">
        <f t="shared" si="1"/>
        <v>0.27790389088244982</v>
      </c>
      <c r="Q9" s="8">
        <f>Q7-Q8</f>
        <v>1086.8731099999984</v>
      </c>
      <c r="R9" s="10">
        <f t="shared" ref="R9:R16" si="10">Q9/M9-1</f>
        <v>-0.20350565991786085</v>
      </c>
      <c r="S9" s="66">
        <f t="shared" si="3"/>
        <v>0.62328188040191679</v>
      </c>
      <c r="T9" s="76" t="s">
        <v>28</v>
      </c>
      <c r="U9" s="4"/>
      <c r="V9" s="8">
        <v>2408.5739399999998</v>
      </c>
      <c r="W9" s="41">
        <v>-0.20871426266940185</v>
      </c>
      <c r="X9" s="8">
        <f>X7-X8</f>
        <v>2900</v>
      </c>
      <c r="Y9" s="10">
        <f t="shared" ref="Y9:Y16" si="11">X9/V9-1</f>
        <v>0.20403195925967732</v>
      </c>
      <c r="Z9" s="8">
        <f>Z7-Z8</f>
        <v>1717.7828999999974</v>
      </c>
      <c r="AA9" s="10">
        <f t="shared" ref="AA9:AA16" si="12">Z9/V9-1</f>
        <v>-0.28680499632076994</v>
      </c>
      <c r="AB9" s="66">
        <f t="shared" si="4"/>
        <v>0.59233893103448187</v>
      </c>
      <c r="AC9" s="8">
        <f t="shared" si="6"/>
        <v>7056.7591399999892</v>
      </c>
      <c r="AD9" s="41">
        <v>-0.11136313507380657</v>
      </c>
      <c r="AE9" s="8">
        <f t="shared" si="8"/>
        <v>8243.7906414015106</v>
      </c>
      <c r="AF9" s="10"/>
      <c r="AG9" s="8">
        <f t="shared" si="7"/>
        <v>5437.639769999997</v>
      </c>
      <c r="AH9" s="10">
        <f>AG9/AC9-1</f>
        <v>-0.22944234568277966</v>
      </c>
      <c r="AI9" s="59">
        <f t="shared" si="5"/>
        <v>0.65960430177488771</v>
      </c>
      <c r="AJ9" s="58"/>
    </row>
    <row r="10" spans="2:36" s="33" customFormat="1" ht="13">
      <c r="B10" s="12" t="s">
        <v>7</v>
      </c>
      <c r="C10" s="4" t="s">
        <v>15</v>
      </c>
      <c r="D10" s="8">
        <v>768.92637000000002</v>
      </c>
      <c r="E10" s="10">
        <v>0.71323698107650024</v>
      </c>
      <c r="F10" s="8">
        <v>750</v>
      </c>
      <c r="G10" s="80">
        <f t="shared" si="0"/>
        <v>-2.4614021235869421E-2</v>
      </c>
      <c r="H10" s="8">
        <v>542.31623000000002</v>
      </c>
      <c r="I10" s="10">
        <f t="shared" si="9"/>
        <v>-0.29470980426903548</v>
      </c>
      <c r="J10" s="66">
        <f t="shared" si="2"/>
        <v>0.72308830666666668</v>
      </c>
      <c r="K10" s="12" t="s">
        <v>7</v>
      </c>
      <c r="L10" s="4" t="s">
        <v>15</v>
      </c>
      <c r="M10" s="8">
        <v>254.32567</v>
      </c>
      <c r="N10" s="10">
        <v>-0.70931699302722662</v>
      </c>
      <c r="O10" s="8">
        <v>359</v>
      </c>
      <c r="P10" s="10">
        <f t="shared" si="1"/>
        <v>0.41157595298972383</v>
      </c>
      <c r="Q10" s="8">
        <v>136.75783000000001</v>
      </c>
      <c r="R10" s="10">
        <f t="shared" si="10"/>
        <v>-0.46227280164051077</v>
      </c>
      <c r="S10" s="66">
        <f t="shared" si="3"/>
        <v>0.38094103064066853</v>
      </c>
      <c r="T10" s="12" t="s">
        <v>7</v>
      </c>
      <c r="U10" s="4" t="s">
        <v>15</v>
      </c>
      <c r="V10" s="8">
        <v>648.66205000000002</v>
      </c>
      <c r="W10" s="10">
        <v>-0.2546228240352022</v>
      </c>
      <c r="X10" s="8">
        <v>650</v>
      </c>
      <c r="Y10" s="10">
        <f t="shared" si="11"/>
        <v>2.0626303018651537E-3</v>
      </c>
      <c r="Z10" s="8">
        <v>369.16870999999981</v>
      </c>
      <c r="AA10" s="10">
        <f t="shared" si="12"/>
        <v>-0.43087666374192879</v>
      </c>
      <c r="AB10" s="66">
        <f t="shared" si="4"/>
        <v>0.56795186153846122</v>
      </c>
      <c r="AC10" s="8">
        <f t="shared" si="6"/>
        <v>1671.9140900000002</v>
      </c>
      <c r="AD10" s="10">
        <v>-0.23795594368684547</v>
      </c>
      <c r="AE10" s="8">
        <f t="shared" si="8"/>
        <v>1759</v>
      </c>
      <c r="AF10" s="10">
        <f t="shared" ref="AF10:AF16" si="13">AE10/AC10-1</f>
        <v>5.2087550742514477E-2</v>
      </c>
      <c r="AG10" s="8">
        <f t="shared" si="7"/>
        <v>1048.2427699999998</v>
      </c>
      <c r="AH10" s="10">
        <f t="shared" ref="AH10:AH16" si="14">AG10/AC10-1</f>
        <v>-0.37302832946398601</v>
      </c>
      <c r="AI10" s="59">
        <f t="shared" si="5"/>
        <v>0.59593108015918128</v>
      </c>
      <c r="AJ10" s="58"/>
    </row>
    <row r="11" spans="2:36" s="33" customFormat="1" ht="13">
      <c r="B11" s="12" t="s">
        <v>8</v>
      </c>
      <c r="C11" s="4" t="s">
        <v>3</v>
      </c>
      <c r="D11" s="8">
        <v>1138.3420599999999</v>
      </c>
      <c r="E11" s="9">
        <v>1.400926647936489</v>
      </c>
      <c r="F11" s="8">
        <v>1100</v>
      </c>
      <c r="G11" s="79">
        <f t="shared" si="0"/>
        <v>-3.3682371360327257E-2</v>
      </c>
      <c r="H11" s="8">
        <v>517.99938000000054</v>
      </c>
      <c r="I11" s="9">
        <f t="shared" si="9"/>
        <v>-0.54495278861961705</v>
      </c>
      <c r="J11" s="66">
        <f t="shared" si="2"/>
        <v>0.47090852727272775</v>
      </c>
      <c r="K11" s="12" t="s">
        <v>8</v>
      </c>
      <c r="L11" s="4" t="s">
        <v>3</v>
      </c>
      <c r="M11" s="8">
        <v>501.19358999999997</v>
      </c>
      <c r="N11" s="9">
        <v>-0.50318859461853616</v>
      </c>
      <c r="O11" s="8">
        <v>680</v>
      </c>
      <c r="P11" s="9">
        <f t="shared" si="1"/>
        <v>0.35676116687765314</v>
      </c>
      <c r="Q11" s="8">
        <v>561.44215999999994</v>
      </c>
      <c r="R11" s="9">
        <f t="shared" si="10"/>
        <v>0.12021017667045575</v>
      </c>
      <c r="S11" s="66">
        <f t="shared" si="3"/>
        <v>0.82565023529411752</v>
      </c>
      <c r="T11" s="12" t="s">
        <v>8</v>
      </c>
      <c r="U11" s="4" t="s">
        <v>3</v>
      </c>
      <c r="V11" s="8">
        <v>862.92884000000095</v>
      </c>
      <c r="W11" s="9">
        <v>5.5690943757752631E-2</v>
      </c>
      <c r="X11" s="8">
        <v>890</v>
      </c>
      <c r="Y11" s="9">
        <f t="shared" si="11"/>
        <v>3.1371254204459076E-2</v>
      </c>
      <c r="Z11" s="8">
        <v>701.31850000000054</v>
      </c>
      <c r="AA11" s="9">
        <f t="shared" si="12"/>
        <v>-0.18728118995304432</v>
      </c>
      <c r="AB11" s="66">
        <f t="shared" si="4"/>
        <v>0.78799831460674219</v>
      </c>
      <c r="AC11" s="8">
        <f t="shared" si="6"/>
        <v>2502.4644900000008</v>
      </c>
      <c r="AD11" s="9">
        <v>8.786086802382842E-2</v>
      </c>
      <c r="AE11" s="8">
        <f t="shared" si="8"/>
        <v>2670</v>
      </c>
      <c r="AF11" s="9">
        <f t="shared" si="13"/>
        <v>6.6948206725602422E-2</v>
      </c>
      <c r="AG11" s="8">
        <f t="shared" si="7"/>
        <v>1780.760040000001</v>
      </c>
      <c r="AH11" s="9">
        <f t="shared" si="14"/>
        <v>-0.28839747891887146</v>
      </c>
      <c r="AI11" s="59">
        <f t="shared" si="5"/>
        <v>0.66695132584269701</v>
      </c>
      <c r="AJ11" s="58"/>
    </row>
    <row r="12" spans="2:36" s="33" customFormat="1" ht="13">
      <c r="B12" s="74" t="s">
        <v>23</v>
      </c>
      <c r="C12" s="30"/>
      <c r="D12" s="27">
        <v>2333.3233799999989</v>
      </c>
      <c r="E12" s="29">
        <v>0.16330716002374612</v>
      </c>
      <c r="F12" s="27">
        <f>F13+F14</f>
        <v>2600</v>
      </c>
      <c r="G12" s="81">
        <f t="shared" si="0"/>
        <v>0.11429046753048056</v>
      </c>
      <c r="H12" s="27">
        <f>H13+H14</f>
        <v>1577.8240499999993</v>
      </c>
      <c r="I12" s="31">
        <f t="shared" si="9"/>
        <v>-0.32378680832487094</v>
      </c>
      <c r="J12" s="66">
        <f t="shared" si="2"/>
        <v>0.60685540384615355</v>
      </c>
      <c r="K12" s="26" t="s">
        <v>16</v>
      </c>
      <c r="L12" s="30"/>
      <c r="M12" s="27">
        <v>1492.77288</v>
      </c>
      <c r="N12" s="29">
        <v>-0.31882033491485706</v>
      </c>
      <c r="O12" s="27">
        <f>O13+O14</f>
        <v>1900</v>
      </c>
      <c r="P12" s="31">
        <f t="shared" si="1"/>
        <v>0.27279911462485851</v>
      </c>
      <c r="Q12" s="27">
        <f>Q13+Q14</f>
        <v>1313.7456600000005</v>
      </c>
      <c r="R12" s="31">
        <f t="shared" si="10"/>
        <v>-0.1199293090051311</v>
      </c>
      <c r="S12" s="66">
        <f t="shared" si="3"/>
        <v>0.69144508421052653</v>
      </c>
      <c r="T12" s="26" t="s">
        <v>16</v>
      </c>
      <c r="U12" s="30"/>
      <c r="V12" s="27">
        <v>2268.8420800000008</v>
      </c>
      <c r="W12" s="29">
        <v>6.4343528554137386E-2</v>
      </c>
      <c r="X12" s="27">
        <f>X13+X14</f>
        <v>3580</v>
      </c>
      <c r="Y12" s="31">
        <f t="shared" si="11"/>
        <v>0.577897391606911</v>
      </c>
      <c r="Z12" s="27">
        <f>Z13+Z14</f>
        <v>1621.470890000001</v>
      </c>
      <c r="AA12" s="31">
        <f t="shared" si="12"/>
        <v>-0.28533109276605073</v>
      </c>
      <c r="AB12" s="66">
        <f t="shared" si="4"/>
        <v>0.45292482960893882</v>
      </c>
      <c r="AC12" s="27">
        <f>AC13+AC14</f>
        <v>6094.9383400000006</v>
      </c>
      <c r="AD12" s="29">
        <v>-3.6967474796647526E-2</v>
      </c>
      <c r="AE12" s="27">
        <f>AE13+AE14</f>
        <v>8080</v>
      </c>
      <c r="AF12" s="31">
        <f t="shared" si="13"/>
        <v>0.32569019557956658</v>
      </c>
      <c r="AG12" s="27">
        <f>AG13+AG14</f>
        <v>4513.0406000000003</v>
      </c>
      <c r="AH12" s="31">
        <f t="shared" si="14"/>
        <v>-0.25954286192171716</v>
      </c>
      <c r="AI12" s="59">
        <f t="shared" si="5"/>
        <v>0.55854462871287136</v>
      </c>
      <c r="AJ12" s="58"/>
    </row>
    <row r="13" spans="2:36" s="33" customFormat="1" ht="13">
      <c r="B13" s="12" t="s">
        <v>9</v>
      </c>
      <c r="C13" s="4" t="s">
        <v>0</v>
      </c>
      <c r="D13" s="15">
        <v>1515.98353</v>
      </c>
      <c r="E13" s="9">
        <v>-7.4505842410174439E-2</v>
      </c>
      <c r="F13" s="8">
        <v>1800</v>
      </c>
      <c r="G13" s="80">
        <f t="shared" si="0"/>
        <v>0.1873479918347134</v>
      </c>
      <c r="H13" s="8">
        <v>863.47933999999998</v>
      </c>
      <c r="I13" s="10">
        <f t="shared" si="9"/>
        <v>-0.4304164109223535</v>
      </c>
      <c r="J13" s="66">
        <f t="shared" si="2"/>
        <v>0.47971074444444445</v>
      </c>
      <c r="K13" s="12" t="s">
        <v>9</v>
      </c>
      <c r="L13" s="4" t="s">
        <v>0</v>
      </c>
      <c r="M13" s="15">
        <v>1122.57042</v>
      </c>
      <c r="N13" s="9">
        <v>-0.29681133938318716</v>
      </c>
      <c r="O13" s="95">
        <v>1300</v>
      </c>
      <c r="P13" s="10">
        <f t="shared" si="1"/>
        <v>0.1580565253091204</v>
      </c>
      <c r="Q13" s="8">
        <v>973.49416000000031</v>
      </c>
      <c r="R13" s="10">
        <f t="shared" si="10"/>
        <v>-0.13279902743206051</v>
      </c>
      <c r="S13" s="66">
        <f t="shared" si="3"/>
        <v>0.74884166153846177</v>
      </c>
      <c r="T13" s="12" t="s">
        <v>9</v>
      </c>
      <c r="U13" s="4" t="s">
        <v>0</v>
      </c>
      <c r="V13" s="15">
        <v>1695.7907299999999</v>
      </c>
      <c r="W13" s="9">
        <v>0.1723093123021624</v>
      </c>
      <c r="X13" s="95">
        <v>3000</v>
      </c>
      <c r="Y13" s="10">
        <f t="shared" si="11"/>
        <v>0.76908621266021426</v>
      </c>
      <c r="Z13" s="8">
        <v>1048.8924900000009</v>
      </c>
      <c r="AA13" s="10">
        <f t="shared" si="12"/>
        <v>-0.3814729191260523</v>
      </c>
      <c r="AB13" s="66">
        <f t="shared" si="4"/>
        <v>0.34963083000000028</v>
      </c>
      <c r="AC13" s="8">
        <f>D13+M13+V13</f>
        <v>4334.3446800000002</v>
      </c>
      <c r="AD13" s="9">
        <v>-7.4048852856668734E-2</v>
      </c>
      <c r="AE13" s="8">
        <f t="shared" si="8"/>
        <v>6100</v>
      </c>
      <c r="AF13" s="10">
        <f t="shared" si="13"/>
        <v>0.40736384629198419</v>
      </c>
      <c r="AG13" s="8">
        <f>H13+Q13+Z13</f>
        <v>2885.8659900000011</v>
      </c>
      <c r="AH13" s="10">
        <f t="shared" si="14"/>
        <v>-0.33418631810333987</v>
      </c>
      <c r="AI13" s="59">
        <f t="shared" si="5"/>
        <v>0.47309278524590181</v>
      </c>
      <c r="AJ13" s="58"/>
    </row>
    <row r="14" spans="2:36" s="33" customFormat="1" ht="13">
      <c r="B14" s="13" t="s">
        <v>10</v>
      </c>
      <c r="C14" s="14" t="s">
        <v>4</v>
      </c>
      <c r="D14" s="16">
        <v>817.33984999999905</v>
      </c>
      <c r="E14" s="17">
        <v>1.2225953258050812</v>
      </c>
      <c r="F14" s="18">
        <v>800</v>
      </c>
      <c r="G14" s="82">
        <f t="shared" si="0"/>
        <v>-2.1214981748411077E-2</v>
      </c>
      <c r="H14" s="18">
        <v>714.34470999999917</v>
      </c>
      <c r="I14" s="19">
        <f t="shared" si="9"/>
        <v>-0.12601262498090604</v>
      </c>
      <c r="J14" s="66">
        <f t="shared" si="2"/>
        <v>0.89293088749999894</v>
      </c>
      <c r="K14" s="13" t="s">
        <v>10</v>
      </c>
      <c r="L14" s="14" t="s">
        <v>4</v>
      </c>
      <c r="M14" s="16">
        <v>370.20245999999997</v>
      </c>
      <c r="N14" s="17">
        <v>-0.37786582305250349</v>
      </c>
      <c r="O14" s="18">
        <v>600</v>
      </c>
      <c r="P14" s="19">
        <f t="shared" si="1"/>
        <v>0.62073477307525193</v>
      </c>
      <c r="Q14" s="18">
        <v>340.25150000000008</v>
      </c>
      <c r="R14" s="19">
        <f t="shared" si="10"/>
        <v>-8.0904270598309624E-2</v>
      </c>
      <c r="S14" s="66">
        <f t="shared" si="3"/>
        <v>0.56708583333333351</v>
      </c>
      <c r="T14" s="13" t="s">
        <v>10</v>
      </c>
      <c r="U14" s="14" t="s">
        <v>4</v>
      </c>
      <c r="V14" s="16">
        <v>573.05135000000098</v>
      </c>
      <c r="W14" s="17">
        <v>-0.16360387754109418</v>
      </c>
      <c r="X14" s="18">
        <v>580</v>
      </c>
      <c r="Y14" s="19">
        <f t="shared" si="11"/>
        <v>1.2125702173110708E-2</v>
      </c>
      <c r="Z14" s="18">
        <v>572.57839999999999</v>
      </c>
      <c r="AA14" s="19">
        <f t="shared" si="12"/>
        <v>-8.2531870835134136E-4</v>
      </c>
      <c r="AB14" s="66">
        <f t="shared" si="4"/>
        <v>0.98720413793103445</v>
      </c>
      <c r="AC14" s="16">
        <f>D14+M14+V14</f>
        <v>1760.59366</v>
      </c>
      <c r="AD14" s="17">
        <v>6.8362165835320399E-2</v>
      </c>
      <c r="AE14" s="16">
        <f t="shared" si="8"/>
        <v>1980</v>
      </c>
      <c r="AF14" s="19">
        <f t="shared" si="13"/>
        <v>0.12462065778426124</v>
      </c>
      <c r="AG14" s="16">
        <f>H14+Q14+Z14</f>
        <v>1627.1746099999991</v>
      </c>
      <c r="AH14" s="19">
        <f t="shared" si="14"/>
        <v>-7.5780717056541547E-2</v>
      </c>
      <c r="AI14" s="59">
        <f t="shared" si="5"/>
        <v>0.82180535858585813</v>
      </c>
      <c r="AJ14" s="58"/>
    </row>
    <row r="15" spans="2:36" s="33" customFormat="1" ht="13">
      <c r="B15" s="83" t="s">
        <v>30</v>
      </c>
      <c r="C15" s="1"/>
      <c r="D15" s="42">
        <v>9093.2642499999893</v>
      </c>
      <c r="E15" s="43">
        <v>0.7024907230338544</v>
      </c>
      <c r="F15" s="42">
        <f>F5-F8</f>
        <v>9742.6198260000001</v>
      </c>
      <c r="G15" s="45">
        <f t="shared" si="0"/>
        <v>7.1410613190968419E-2</v>
      </c>
      <c r="H15" s="42">
        <f>H5-H8</f>
        <v>7753.8207100000018</v>
      </c>
      <c r="I15" s="45">
        <f t="shared" si="9"/>
        <v>-0.14730062859440041</v>
      </c>
      <c r="J15" s="66">
        <f t="shared" si="2"/>
        <v>0.79586608617401688</v>
      </c>
      <c r="K15" s="83" t="s">
        <v>30</v>
      </c>
      <c r="L15" s="2"/>
      <c r="M15" s="42">
        <v>4207.1927699999997</v>
      </c>
      <c r="N15" s="43">
        <v>-0.50827655017539075</v>
      </c>
      <c r="O15" s="42">
        <f>O5-O8</f>
        <v>5148.9939121889183</v>
      </c>
      <c r="P15" s="45">
        <f t="shared" si="1"/>
        <v>0.22385500110776202</v>
      </c>
      <c r="Q15" s="42">
        <f>Q5-Q8</f>
        <v>4026.3350899999982</v>
      </c>
      <c r="R15" s="45">
        <f t="shared" si="10"/>
        <v>-4.2987733124479899E-2</v>
      </c>
      <c r="S15" s="66">
        <f t="shared" si="3"/>
        <v>0.78196540113762536</v>
      </c>
      <c r="T15" s="83" t="s">
        <v>30</v>
      </c>
      <c r="U15" s="2"/>
      <c r="V15" s="42">
        <v>7052.8275800000001</v>
      </c>
      <c r="W15" s="43">
        <v>-0.22151714875183259</v>
      </c>
      <c r="X15" s="42">
        <f>X5-X8</f>
        <v>7940</v>
      </c>
      <c r="Y15" s="45">
        <f t="shared" si="11"/>
        <v>0.12578960848494192</v>
      </c>
      <c r="Z15" s="42">
        <f>Z5-Z8</f>
        <v>6728.1583599999994</v>
      </c>
      <c r="AA15" s="45">
        <f t="shared" si="12"/>
        <v>-4.6033908573162696E-2</v>
      </c>
      <c r="AB15" s="66">
        <f t="shared" si="4"/>
        <v>0.84737510831234253</v>
      </c>
      <c r="AC15" s="42">
        <f>AC5-AC8</f>
        <v>20353.284599999988</v>
      </c>
      <c r="AD15" s="45">
        <v>-0.11341226607108879</v>
      </c>
      <c r="AE15" s="42">
        <f>AE5-AE8</f>
        <v>22831.61373818892</v>
      </c>
      <c r="AF15" s="45">
        <f t="shared" si="13"/>
        <v>0.12176556201591815</v>
      </c>
      <c r="AG15" s="42">
        <f>AG5-AG8</f>
        <v>18508.314159999998</v>
      </c>
      <c r="AH15" s="45">
        <f t="shared" si="14"/>
        <v>-9.0647307118183362E-2</v>
      </c>
      <c r="AI15" s="59">
        <f t="shared" si="5"/>
        <v>0.81064415210574337</v>
      </c>
      <c r="AJ15" s="58"/>
    </row>
    <row r="16" spans="2:36" s="33" customFormat="1" ht="13">
      <c r="B16" s="84" t="s">
        <v>31</v>
      </c>
      <c r="C16" s="1"/>
      <c r="D16" s="42">
        <v>11426.587629999987</v>
      </c>
      <c r="E16" s="43">
        <v>0.55528936285471131</v>
      </c>
      <c r="F16" s="42">
        <f>F4-F8</f>
        <v>12342.619826</v>
      </c>
      <c r="G16" s="45">
        <f t="shared" si="0"/>
        <v>8.0166732681856034E-2</v>
      </c>
      <c r="H16" s="42">
        <f>H4-H8</f>
        <v>9331.6447599999992</v>
      </c>
      <c r="I16" s="45">
        <f t="shared" si="9"/>
        <v>-0.18333932560056776</v>
      </c>
      <c r="J16" s="66">
        <f t="shared" si="2"/>
        <v>0.7560505704261169</v>
      </c>
      <c r="K16" s="84" t="s">
        <v>31</v>
      </c>
      <c r="L16" s="2"/>
      <c r="M16" s="42">
        <v>5699.9656500000001</v>
      </c>
      <c r="N16" s="43">
        <v>-0.46964565119002111</v>
      </c>
      <c r="O16" s="42">
        <f>O4-O8</f>
        <v>7048.9939121889183</v>
      </c>
      <c r="P16" s="45">
        <f t="shared" si="1"/>
        <v>0.23667305121196969</v>
      </c>
      <c r="Q16" s="42">
        <f>Q4-Q8</f>
        <v>5340.0807499999992</v>
      </c>
      <c r="R16" s="45">
        <f t="shared" si="10"/>
        <v>-6.3138082244408089E-2</v>
      </c>
      <c r="S16" s="66">
        <f t="shared" si="3"/>
        <v>0.7575663728076264</v>
      </c>
      <c r="T16" s="84" t="s">
        <v>31</v>
      </c>
      <c r="U16" s="2"/>
      <c r="V16" s="42">
        <v>9321.6696600000014</v>
      </c>
      <c r="W16" s="43">
        <v>-0.1670677843840791</v>
      </c>
      <c r="X16" s="42">
        <f>X4-X8</f>
        <v>11520</v>
      </c>
      <c r="Y16" s="45">
        <f t="shared" si="11"/>
        <v>0.23583010556930617</v>
      </c>
      <c r="Z16" s="42">
        <f>Z4-Z8</f>
        <v>8349.62925</v>
      </c>
      <c r="AA16" s="45">
        <f t="shared" si="12"/>
        <v>-0.10427750021770255</v>
      </c>
      <c r="AB16" s="66">
        <f t="shared" si="4"/>
        <v>0.72479420572916664</v>
      </c>
      <c r="AC16" s="42">
        <f>AC4-AC8</f>
        <v>26448.222939999989</v>
      </c>
      <c r="AD16" s="45">
        <v>-9.6891906416699536E-2</v>
      </c>
      <c r="AE16" s="42">
        <f>AE4-AE8</f>
        <v>30911.61373818892</v>
      </c>
      <c r="AF16" s="45">
        <f t="shared" si="13"/>
        <v>0.1687595725548181</v>
      </c>
      <c r="AG16" s="42">
        <f>AG4-AG8</f>
        <v>23021.354759999998</v>
      </c>
      <c r="AH16" s="45">
        <f t="shared" si="14"/>
        <v>-0.12956893881959963</v>
      </c>
      <c r="AI16" s="59">
        <f t="shared" si="5"/>
        <v>0.74474774934052979</v>
      </c>
    </row>
    <row r="17" spans="2:39" s="33" customFormat="1" ht="12.5">
      <c r="J17" s="66"/>
      <c r="S17" s="69"/>
      <c r="AB17" s="69"/>
    </row>
    <row r="18" spans="2:39" s="33" customFormat="1" ht="12.5">
      <c r="B18" s="172"/>
      <c r="F18" s="173"/>
      <c r="G18" s="193"/>
      <c r="J18" s="66"/>
      <c r="K18" s="175"/>
      <c r="L18" s="100"/>
      <c r="M18" s="100"/>
      <c r="N18" s="100"/>
      <c r="O18" s="176"/>
      <c r="P18" s="193"/>
      <c r="Q18" s="176"/>
      <c r="R18" s="177"/>
      <c r="T18" s="175"/>
      <c r="V18" s="175"/>
      <c r="W18" s="100"/>
      <c r="X18" s="176"/>
      <c r="Y18" s="193"/>
      <c r="Z18" s="176"/>
      <c r="AA18" s="177"/>
      <c r="AB18" s="175"/>
      <c r="AC18" s="177"/>
      <c r="AE18" s="176"/>
      <c r="AF18" s="193"/>
      <c r="AJ18" s="176"/>
      <c r="AK18" s="177"/>
      <c r="AL18" s="176"/>
      <c r="AM18" s="177"/>
    </row>
    <row r="19" spans="2:39" s="33" customFormat="1" ht="12.5">
      <c r="J19" s="66"/>
      <c r="S19" s="69"/>
      <c r="AB19" s="69"/>
    </row>
    <row r="20" spans="2:39" s="33" customFormat="1" ht="13">
      <c r="B20" s="441" t="s">
        <v>17</v>
      </c>
      <c r="C20" s="442"/>
      <c r="D20" s="445" t="s">
        <v>35</v>
      </c>
      <c r="E20" s="446"/>
      <c r="F20" s="447" t="s">
        <v>37</v>
      </c>
      <c r="G20" s="448"/>
      <c r="H20" s="445" t="s">
        <v>81</v>
      </c>
      <c r="I20" s="446"/>
      <c r="J20" s="66"/>
      <c r="S20" s="69"/>
      <c r="AB20" s="69"/>
    </row>
    <row r="21" spans="2:39" s="33" customFormat="1" ht="13">
      <c r="B21" s="443"/>
      <c r="C21" s="444"/>
      <c r="D21" s="6" t="s">
        <v>36</v>
      </c>
      <c r="E21" s="75" t="s">
        <v>26</v>
      </c>
      <c r="F21" s="88" t="s">
        <v>36</v>
      </c>
      <c r="G21" s="89" t="s">
        <v>26</v>
      </c>
      <c r="H21" s="6" t="s">
        <v>36</v>
      </c>
      <c r="I21" s="75" t="s">
        <v>26</v>
      </c>
      <c r="J21" s="127" t="s">
        <v>72</v>
      </c>
      <c r="S21" s="69"/>
      <c r="T21" s="99"/>
      <c r="U21" s="100"/>
      <c r="V21" s="100"/>
      <c r="W21" s="100"/>
      <c r="X21" s="97"/>
      <c r="Y21" s="98"/>
      <c r="AB21" s="69"/>
    </row>
    <row r="22" spans="2:39" s="33" customFormat="1" ht="12.5">
      <c r="B22" s="20" t="s">
        <v>13</v>
      </c>
      <c r="C22" s="21"/>
      <c r="D22" s="22">
        <f>D23+D30</f>
        <v>18309.784579999989</v>
      </c>
      <c r="E22" s="23">
        <v>-6.6629854237357233E-2</v>
      </c>
      <c r="F22" s="22">
        <f>F23+F30</f>
        <v>19991.61373818892</v>
      </c>
      <c r="G22" s="24">
        <f t="shared" ref="G22:G34" si="15">F22/D22-1</f>
        <v>9.1854120448037202E-2</v>
      </c>
      <c r="H22" s="22">
        <f>H23+H30</f>
        <v>15399.630789999997</v>
      </c>
      <c r="I22" s="24">
        <f>H22/D22-1</f>
        <v>-0.15893981588285799</v>
      </c>
      <c r="J22" s="66">
        <f>H22/F22</f>
        <v>0.77030453827661238</v>
      </c>
      <c r="S22" s="69"/>
      <c r="T22" s="100"/>
      <c r="U22" s="100"/>
      <c r="V22" s="100"/>
      <c r="W22" s="100"/>
      <c r="X22" s="100"/>
      <c r="Y22" s="98"/>
      <c r="AA22" s="60"/>
      <c r="AB22" s="69"/>
    </row>
    <row r="23" spans="2:39" s="33" customFormat="1" ht="12.5">
      <c r="B23" s="25" t="s">
        <v>14</v>
      </c>
      <c r="C23" s="26"/>
      <c r="D23" s="27">
        <f>D24+D25+D28+D29</f>
        <v>14483.688319999988</v>
      </c>
      <c r="E23" s="28">
        <v>-6.0698238880510513E-2</v>
      </c>
      <c r="F23" s="27">
        <f>F24+F25+F28+F29</f>
        <v>15491.613738188918</v>
      </c>
      <c r="G23" s="29">
        <f t="shared" si="15"/>
        <v>6.9590383051610027E-2</v>
      </c>
      <c r="H23" s="27">
        <f>H24+H25+H28+H29</f>
        <v>12508.061079999998</v>
      </c>
      <c r="I23" s="29">
        <f>H23/D23-1</f>
        <v>-0.13640360081982161</v>
      </c>
      <c r="J23" s="66">
        <f t="shared" ref="J23:J34" si="16">H23/F23</f>
        <v>0.80740853027893011</v>
      </c>
      <c r="S23" s="69"/>
      <c r="AA23" s="60"/>
      <c r="AB23" s="69"/>
    </row>
    <row r="24" spans="2:39" s="33" customFormat="1" ht="13">
      <c r="B24" s="3" t="s">
        <v>5</v>
      </c>
      <c r="C24" s="11" t="s">
        <v>1</v>
      </c>
      <c r="D24" s="8">
        <f>D6+M6</f>
        <v>5989.4841299999998</v>
      </c>
      <c r="E24" s="9">
        <v>-3.290123600215944E-2</v>
      </c>
      <c r="F24" s="8">
        <f t="shared" ref="F24:F29" si="17">F6+O6</f>
        <v>6658.8230967874078</v>
      </c>
      <c r="G24" s="9">
        <f t="shared" si="15"/>
        <v>0.1117523566737304</v>
      </c>
      <c r="H24" s="8">
        <f t="shared" ref="H24:H29" si="18">H6+Q6</f>
        <v>6301.7833299999984</v>
      </c>
      <c r="I24" s="9">
        <f>H24/D24-1</f>
        <v>5.2141251770876362E-2</v>
      </c>
      <c r="J24" s="66">
        <f t="shared" si="16"/>
        <v>0.94638095026737301</v>
      </c>
      <c r="S24" s="69"/>
      <c r="AB24" s="69"/>
    </row>
    <row r="25" spans="2:39" s="33" customFormat="1" ht="13">
      <c r="B25" s="12" t="s">
        <v>6</v>
      </c>
      <c r="C25" s="4" t="s">
        <v>2</v>
      </c>
      <c r="D25" s="8">
        <f>D7+M7</f>
        <v>5831.4164999999903</v>
      </c>
      <c r="E25" s="10">
        <v>-9.1636805794869325E-2</v>
      </c>
      <c r="F25" s="8">
        <f t="shared" si="17"/>
        <v>5943.7906414015106</v>
      </c>
      <c r="G25" s="10">
        <f t="shared" si="15"/>
        <v>1.9270470802680739E-2</v>
      </c>
      <c r="H25" s="8">
        <f t="shared" si="18"/>
        <v>4447.7621499999987</v>
      </c>
      <c r="I25" s="10">
        <f>H25/D25-1</f>
        <v>-0.23727585741817514</v>
      </c>
      <c r="J25" s="66">
        <f t="shared" si="16"/>
        <v>0.74830397272391858</v>
      </c>
      <c r="S25" s="69"/>
      <c r="AB25" s="69"/>
    </row>
    <row r="26" spans="2:39" s="33" customFormat="1" ht="12.5">
      <c r="B26" s="39" t="s">
        <v>27</v>
      </c>
      <c r="C26" s="4"/>
      <c r="D26" s="40">
        <f>D8+M8</f>
        <v>1183.2312999999999</v>
      </c>
      <c r="E26" s="41">
        <v>-0.22281887147115942</v>
      </c>
      <c r="F26" s="40">
        <f t="shared" si="17"/>
        <v>600</v>
      </c>
      <c r="G26" s="41">
        <f t="shared" si="15"/>
        <v>-0.49291402281193875</v>
      </c>
      <c r="H26" s="40">
        <f t="shared" si="18"/>
        <v>727.90527999999904</v>
      </c>
      <c r="I26" s="41"/>
      <c r="J26" s="66"/>
      <c r="S26" s="69"/>
      <c r="AB26" s="69"/>
      <c r="AG26" s="58"/>
    </row>
    <row r="27" spans="2:39" s="33" customFormat="1" ht="13.5">
      <c r="B27" s="76" t="s">
        <v>28</v>
      </c>
      <c r="C27" s="4"/>
      <c r="D27" s="40">
        <f>D25-D26</f>
        <v>4648.1851999999908</v>
      </c>
      <c r="E27" s="41">
        <v>-5.0854552884310733E-2</v>
      </c>
      <c r="F27" s="40">
        <f t="shared" si="17"/>
        <v>5343.7906414015106</v>
      </c>
      <c r="G27" s="41">
        <f t="shared" si="15"/>
        <v>0.14965097376101122</v>
      </c>
      <c r="H27" s="40">
        <f t="shared" si="18"/>
        <v>3719.8568699999996</v>
      </c>
      <c r="I27" s="41"/>
      <c r="J27" s="66">
        <f t="shared" si="16"/>
        <v>0.69610827212804061</v>
      </c>
      <c r="S27" s="69"/>
      <c r="AB27" s="69"/>
      <c r="AG27" s="59"/>
    </row>
    <row r="28" spans="2:39" s="33" customFormat="1" ht="13">
      <c r="B28" s="12" t="s">
        <v>7</v>
      </c>
      <c r="C28" s="4" t="s">
        <v>15</v>
      </c>
      <c r="D28" s="8">
        <f>D10+M10</f>
        <v>1023.2520400000001</v>
      </c>
      <c r="E28" s="10">
        <v>-0.22699887908450866</v>
      </c>
      <c r="F28" s="8">
        <f t="shared" si="17"/>
        <v>1109</v>
      </c>
      <c r="G28" s="10">
        <f t="shared" si="15"/>
        <v>8.3799451794887236E-2</v>
      </c>
      <c r="H28" s="8">
        <f t="shared" si="18"/>
        <v>679.07406000000003</v>
      </c>
      <c r="I28" s="10">
        <f t="shared" ref="I28:I34" si="19">H28/D28-1</f>
        <v>-0.33635699372756689</v>
      </c>
      <c r="J28" s="66">
        <f t="shared" si="16"/>
        <v>0.61233008115419296</v>
      </c>
      <c r="S28" s="69"/>
      <c r="AB28" s="69"/>
      <c r="AG28" s="58"/>
    </row>
    <row r="29" spans="2:39" s="33" customFormat="1" ht="13">
      <c r="B29" s="12" t="s">
        <v>8</v>
      </c>
      <c r="C29" s="4" t="s">
        <v>3</v>
      </c>
      <c r="D29" s="8">
        <f>D11+M11</f>
        <v>1639.5356499999998</v>
      </c>
      <c r="E29" s="9">
        <v>0.1055930700141452</v>
      </c>
      <c r="F29" s="8">
        <f t="shared" si="17"/>
        <v>1780</v>
      </c>
      <c r="G29" s="9">
        <f t="shared" si="15"/>
        <v>8.5673251447750065E-2</v>
      </c>
      <c r="H29" s="8">
        <f t="shared" si="18"/>
        <v>1079.4415400000005</v>
      </c>
      <c r="I29" s="9">
        <f t="shared" si="19"/>
        <v>-0.34161752444968141</v>
      </c>
      <c r="J29" s="66">
        <f t="shared" si="16"/>
        <v>0.60642783146067447</v>
      </c>
      <c r="S29" s="69"/>
      <c r="AB29" s="69"/>
    </row>
    <row r="30" spans="2:39" s="33" customFormat="1" ht="12.5">
      <c r="B30" s="26" t="s">
        <v>16</v>
      </c>
      <c r="C30" s="30"/>
      <c r="D30" s="27">
        <f>D31+D32</f>
        <v>3826.0962599999989</v>
      </c>
      <c r="E30" s="29">
        <v>-8.8421263091700286E-2</v>
      </c>
      <c r="F30" s="27">
        <f>F31+F32</f>
        <v>4500</v>
      </c>
      <c r="G30" s="31">
        <f t="shared" si="15"/>
        <v>0.17613350376082826</v>
      </c>
      <c r="H30" s="27">
        <f>H31+H32</f>
        <v>2891.5697099999998</v>
      </c>
      <c r="I30" s="31">
        <f t="shared" si="19"/>
        <v>-0.24425066346867064</v>
      </c>
      <c r="J30" s="66">
        <f t="shared" si="16"/>
        <v>0.64257104666666665</v>
      </c>
      <c r="S30" s="69"/>
      <c r="AB30" s="69"/>
    </row>
    <row r="31" spans="2:39" s="33" customFormat="1" ht="13">
      <c r="B31" s="12" t="s">
        <v>9</v>
      </c>
      <c r="C31" s="4" t="s">
        <v>0</v>
      </c>
      <c r="D31" s="15">
        <f>D13+M13</f>
        <v>2638.55395</v>
      </c>
      <c r="E31" s="9">
        <v>-0.18422809227269155</v>
      </c>
      <c r="F31" s="15">
        <f>F13+O13</f>
        <v>3100</v>
      </c>
      <c r="G31" s="10">
        <f t="shared" si="15"/>
        <v>0.17488596357864883</v>
      </c>
      <c r="H31" s="15">
        <f>H13+Q13</f>
        <v>1836.9735000000003</v>
      </c>
      <c r="I31" s="10">
        <f t="shared" si="19"/>
        <v>-0.30379536109163119</v>
      </c>
      <c r="J31" s="66">
        <f t="shared" si="16"/>
        <v>0.59257209677419365</v>
      </c>
      <c r="S31" s="69"/>
      <c r="AB31" s="69"/>
    </row>
    <row r="32" spans="2:39" s="33" customFormat="1" ht="13">
      <c r="B32" s="13" t="s">
        <v>10</v>
      </c>
      <c r="C32" s="14" t="s">
        <v>4</v>
      </c>
      <c r="D32" s="16">
        <f>D14+M14</f>
        <v>1187.5423099999989</v>
      </c>
      <c r="E32" s="17">
        <v>0.23343390836517863</v>
      </c>
      <c r="F32" s="16">
        <f>F14+O14</f>
        <v>1400</v>
      </c>
      <c r="G32" s="19">
        <f t="shared" si="15"/>
        <v>0.17890536464338802</v>
      </c>
      <c r="H32" s="16">
        <f>H14+Q14</f>
        <v>1054.5962099999992</v>
      </c>
      <c r="I32" s="19">
        <f t="shared" si="19"/>
        <v>-0.11195062178458282</v>
      </c>
      <c r="J32" s="66">
        <f t="shared" si="16"/>
        <v>0.75328300714285656</v>
      </c>
      <c r="S32" s="69"/>
      <c r="AB32" s="69"/>
    </row>
    <row r="33" spans="2:35">
      <c r="B33" s="83" t="s">
        <v>30</v>
      </c>
      <c r="C33" s="1"/>
      <c r="D33" s="42">
        <f>D23-D26</f>
        <v>13300.457019999989</v>
      </c>
      <c r="E33" s="43">
        <v>-4.2937566706669594E-2</v>
      </c>
      <c r="F33" s="42">
        <f>F23-F26</f>
        <v>14891.613738188918</v>
      </c>
      <c r="G33" s="45">
        <f t="shared" si="15"/>
        <v>0.11963173263868265</v>
      </c>
      <c r="H33" s="42">
        <f>H23-H26</f>
        <v>11780.155799999999</v>
      </c>
      <c r="I33" s="45">
        <f t="shared" si="19"/>
        <v>-0.11430443463062234</v>
      </c>
      <c r="J33" s="66">
        <f t="shared" si="16"/>
        <v>0.79105972039754724</v>
      </c>
    </row>
    <row r="34" spans="2:35">
      <c r="B34" s="84" t="s">
        <v>31</v>
      </c>
      <c r="C34" s="1"/>
      <c r="D34" s="42">
        <f>D22-D26</f>
        <v>17126.553279999989</v>
      </c>
      <c r="E34" s="43">
        <v>-5.3488079669055111E-2</v>
      </c>
      <c r="F34" s="42">
        <f>F22-F26</f>
        <v>19391.61373818892</v>
      </c>
      <c r="G34" s="45">
        <f t="shared" si="15"/>
        <v>0.13225430833383256</v>
      </c>
      <c r="H34" s="42">
        <f>H22-H26</f>
        <v>14671.725509999998</v>
      </c>
      <c r="I34" s="45">
        <f t="shared" si="19"/>
        <v>-0.14333460620279526</v>
      </c>
      <c r="J34" s="66">
        <f t="shared" si="16"/>
        <v>0.75660157571652742</v>
      </c>
    </row>
    <row r="35" spans="2:35">
      <c r="B35" s="5"/>
      <c r="C35" s="1"/>
      <c r="D35" s="42"/>
      <c r="E35" s="43"/>
      <c r="F35" s="45"/>
      <c r="G35" s="45"/>
      <c r="H35" s="44"/>
    </row>
    <row r="37" spans="2:35" ht="20">
      <c r="B37" s="71" t="s">
        <v>42</v>
      </c>
      <c r="F37" s="455" t="s">
        <v>73</v>
      </c>
      <c r="G37" s="455"/>
      <c r="H37" s="455"/>
      <c r="I37" s="455"/>
      <c r="O37" s="455" t="s">
        <v>73</v>
      </c>
      <c r="P37" s="455"/>
      <c r="Q37" s="455"/>
      <c r="R37" s="455"/>
      <c r="X37" s="455" t="s">
        <v>73</v>
      </c>
      <c r="Y37" s="455"/>
      <c r="Z37" s="455"/>
      <c r="AA37" s="455"/>
      <c r="AE37" s="96" t="s">
        <v>76</v>
      </c>
    </row>
    <row r="38" spans="2:35" s="33" customFormat="1" ht="13" customHeight="1">
      <c r="B38" s="441" t="s">
        <v>17</v>
      </c>
      <c r="C38" s="442"/>
      <c r="D38" s="445" t="s">
        <v>29</v>
      </c>
      <c r="E38" s="446"/>
      <c r="F38" s="447" t="s">
        <v>25</v>
      </c>
      <c r="G38" s="448"/>
      <c r="H38" s="453" t="s">
        <v>71</v>
      </c>
      <c r="I38" s="454"/>
      <c r="J38" s="66"/>
      <c r="K38" s="441" t="s">
        <v>53</v>
      </c>
      <c r="L38" s="442"/>
      <c r="M38" s="445" t="s">
        <v>32</v>
      </c>
      <c r="N38" s="446"/>
      <c r="O38" s="447" t="s">
        <v>34</v>
      </c>
      <c r="P38" s="448"/>
      <c r="Q38" s="451" t="s">
        <v>74</v>
      </c>
      <c r="R38" s="452"/>
      <c r="S38" s="69"/>
      <c r="T38" s="441" t="s">
        <v>53</v>
      </c>
      <c r="U38" s="442"/>
      <c r="V38" s="445" t="s">
        <v>38</v>
      </c>
      <c r="W38" s="446"/>
      <c r="X38" s="447" t="s">
        <v>40</v>
      </c>
      <c r="Y38" s="448"/>
      <c r="Z38" s="451" t="s">
        <v>75</v>
      </c>
      <c r="AA38" s="452"/>
      <c r="AB38" s="69"/>
      <c r="AC38" s="445" t="s">
        <v>47</v>
      </c>
      <c r="AD38" s="446"/>
      <c r="AE38" s="447" t="s">
        <v>49</v>
      </c>
      <c r="AF38" s="448"/>
      <c r="AG38" s="449" t="s">
        <v>77</v>
      </c>
      <c r="AH38" s="450"/>
    </row>
    <row r="39" spans="2:35" s="33" customFormat="1" ht="26">
      <c r="B39" s="443"/>
      <c r="C39" s="444"/>
      <c r="D39" s="6" t="s">
        <v>41</v>
      </c>
      <c r="E39" s="75" t="s">
        <v>26</v>
      </c>
      <c r="F39" s="88" t="s">
        <v>41</v>
      </c>
      <c r="G39" s="89" t="s">
        <v>26</v>
      </c>
      <c r="H39" s="6" t="s">
        <v>41</v>
      </c>
      <c r="I39" s="7" t="s">
        <v>12</v>
      </c>
      <c r="J39" s="127" t="s">
        <v>72</v>
      </c>
      <c r="K39" s="443"/>
      <c r="L39" s="444"/>
      <c r="M39" s="32" t="s">
        <v>45</v>
      </c>
      <c r="N39" s="75" t="s">
        <v>26</v>
      </c>
      <c r="O39" s="90" t="s">
        <v>45</v>
      </c>
      <c r="P39" s="89" t="s">
        <v>26</v>
      </c>
      <c r="Q39" s="32" t="s">
        <v>45</v>
      </c>
      <c r="R39" s="75" t="s">
        <v>26</v>
      </c>
      <c r="S39" s="127" t="s">
        <v>72</v>
      </c>
      <c r="T39" s="443"/>
      <c r="U39" s="444"/>
      <c r="V39" s="85" t="s">
        <v>46</v>
      </c>
      <c r="W39" s="75" t="s">
        <v>26</v>
      </c>
      <c r="X39" s="91" t="s">
        <v>46</v>
      </c>
      <c r="Y39" s="89" t="s">
        <v>26</v>
      </c>
      <c r="Z39" s="85" t="s">
        <v>46</v>
      </c>
      <c r="AA39" s="75" t="s">
        <v>26</v>
      </c>
      <c r="AB39" s="127" t="s">
        <v>72</v>
      </c>
      <c r="AC39" s="85" t="s">
        <v>50</v>
      </c>
      <c r="AD39" s="75" t="s">
        <v>26</v>
      </c>
      <c r="AE39" s="91" t="s">
        <v>50</v>
      </c>
      <c r="AF39" s="89" t="s">
        <v>26</v>
      </c>
      <c r="AG39" s="85" t="s">
        <v>50</v>
      </c>
      <c r="AH39" s="75" t="s">
        <v>26</v>
      </c>
      <c r="AI39" s="127" t="s">
        <v>72</v>
      </c>
    </row>
    <row r="40" spans="2:35" s="33" customFormat="1" ht="12.5">
      <c r="B40" s="20" t="s">
        <v>13</v>
      </c>
      <c r="C40" s="21"/>
      <c r="D40" s="22">
        <v>11301.07661</v>
      </c>
      <c r="E40" s="23">
        <v>0.53917397014133339</v>
      </c>
      <c r="F40" s="22">
        <f>F41+F48</f>
        <v>12369.505446880001</v>
      </c>
      <c r="G40" s="24">
        <f t="shared" ref="G40:G52" si="20">F40/D40-1</f>
        <v>9.454221697201648E-2</v>
      </c>
      <c r="H40" s="22">
        <f>H41+H48</f>
        <v>8246.5316600000006</v>
      </c>
      <c r="I40" s="24">
        <f>H40/D40-1</f>
        <v>-0.27028796064413185</v>
      </c>
      <c r="J40" s="66">
        <f>H40/F40</f>
        <v>0.66668240661796618</v>
      </c>
      <c r="K40" s="20" t="s">
        <v>13</v>
      </c>
      <c r="L40" s="21"/>
      <c r="M40" s="22">
        <v>5557.76919</v>
      </c>
      <c r="N40" s="23">
        <v>-0.51743170080172396</v>
      </c>
      <c r="O40" s="22">
        <f>O41+O48</f>
        <v>7520</v>
      </c>
      <c r="P40" s="24">
        <f t="shared" ref="P40:P52" si="21">O40/M40-1</f>
        <v>0.35306086721460272</v>
      </c>
      <c r="Q40" s="22">
        <f>Q41+Q48</f>
        <v>5233.1137500000004</v>
      </c>
      <c r="R40" s="24">
        <f>Q40/M40-1</f>
        <v>-5.8414703616002317E-2</v>
      </c>
      <c r="S40" s="66">
        <f>Q40/O40</f>
        <v>0.69589278590425541</v>
      </c>
      <c r="T40" s="20" t="s">
        <v>13</v>
      </c>
      <c r="U40" s="21"/>
      <c r="V40" s="22">
        <v>10649.162420000001</v>
      </c>
      <c r="W40" s="23">
        <v>-0.10034059686620567</v>
      </c>
      <c r="X40" s="22">
        <f>X41+X48</f>
        <v>12710</v>
      </c>
      <c r="Y40" s="24">
        <f t="shared" ref="Y40:Y52" si="22">X40/V40-1</f>
        <v>0.19352109571824894</v>
      </c>
      <c r="Z40" s="22">
        <f>Z41+Z48</f>
        <v>9703.6266599999999</v>
      </c>
      <c r="AA40" s="24">
        <f>Z40/V40-1</f>
        <v>-8.8789683423759924E-2</v>
      </c>
      <c r="AB40" s="66">
        <f>Z40/X40</f>
        <v>0.76346393863099915</v>
      </c>
      <c r="AC40" s="22">
        <f>AC41+AC48</f>
        <v>27508.00822</v>
      </c>
      <c r="AD40" s="23">
        <v>-0.10386404495493007</v>
      </c>
      <c r="AE40" s="22">
        <f>AE41+AE48</f>
        <v>32599.505446880001</v>
      </c>
      <c r="AF40" s="24">
        <f t="shared" ref="AF40:AF52" si="23">AE40/AC40-1</f>
        <v>0.18509145359270951</v>
      </c>
      <c r="AG40" s="22">
        <f>AG41+AG48</f>
        <v>23183.272069999999</v>
      </c>
      <c r="AH40" s="24">
        <f t="shared" ref="AH40:AH52" si="24">AG40/AC40-1</f>
        <v>-0.15721734977727886</v>
      </c>
      <c r="AI40" s="66">
        <f>AG40/AE40</f>
        <v>0.71115410348100228</v>
      </c>
    </row>
    <row r="41" spans="2:35" s="33" customFormat="1" ht="12.5">
      <c r="B41" s="25" t="s">
        <v>14</v>
      </c>
      <c r="C41" s="26"/>
      <c r="D41" s="27">
        <v>8715.3363000000008</v>
      </c>
      <c r="E41" s="28">
        <v>0.74902397742282045</v>
      </c>
      <c r="F41" s="27">
        <f>F42+F43+F46+F47</f>
        <v>8619.5054468800008</v>
      </c>
      <c r="G41" s="29">
        <f t="shared" si="20"/>
        <v>-1.0995657519262902E-2</v>
      </c>
      <c r="H41" s="27">
        <f>H42+H43+H46+H47</f>
        <v>7157.7454800000005</v>
      </c>
      <c r="I41" s="29">
        <f>H41/D41-1</f>
        <v>-0.17871838405134177</v>
      </c>
      <c r="J41" s="66">
        <f t="shared" ref="J41:J52" si="25">H41/F41</f>
        <v>0.8304125479253438</v>
      </c>
      <c r="K41" s="25" t="s">
        <v>14</v>
      </c>
      <c r="L41" s="26"/>
      <c r="M41" s="27">
        <v>4149.6964900000003</v>
      </c>
      <c r="N41" s="28">
        <v>-0.55789941580274172</v>
      </c>
      <c r="O41" s="27">
        <f>O42+O43+O46+O47</f>
        <v>5520</v>
      </c>
      <c r="P41" s="29">
        <f t="shared" si="21"/>
        <v>0.33021776732399033</v>
      </c>
      <c r="Q41" s="27">
        <f>Q42+Q43+Q46+Q47</f>
        <v>4090.7255399999999</v>
      </c>
      <c r="R41" s="29">
        <f>Q41/M41-1</f>
        <v>-1.4210906783691191E-2</v>
      </c>
      <c r="S41" s="66">
        <f t="shared" ref="S41:S52" si="26">Q41/O41</f>
        <v>0.74107346739130431</v>
      </c>
      <c r="T41" s="25" t="s">
        <v>14</v>
      </c>
      <c r="U41" s="26"/>
      <c r="V41" s="27">
        <v>8309.4951300000012</v>
      </c>
      <c r="W41" s="28">
        <v>-0.15423033065575653</v>
      </c>
      <c r="X41" s="27">
        <f>X42+X43+X46+X47</f>
        <v>8210</v>
      </c>
      <c r="Y41" s="29">
        <f t="shared" si="22"/>
        <v>-1.197366728584881E-2</v>
      </c>
      <c r="Z41" s="27">
        <f>Z42+Z43+Z46+Z47</f>
        <v>7914.1764299999995</v>
      </c>
      <c r="AA41" s="29">
        <f>Z41/V41-1</f>
        <v>-4.757433439882186E-2</v>
      </c>
      <c r="AB41" s="66">
        <f t="shared" ref="AB41:AB52" si="27">Z41/X41</f>
        <v>0.96396789646772219</v>
      </c>
      <c r="AC41" s="27">
        <f>AC42+AC43+AC46+AC47</f>
        <v>21174.52792</v>
      </c>
      <c r="AD41" s="28">
        <v>-0.12480476056512557</v>
      </c>
      <c r="AE41" s="27">
        <f>AE42+AE43+AE46+AE47</f>
        <v>22349.505446880001</v>
      </c>
      <c r="AF41" s="29">
        <f t="shared" si="23"/>
        <v>5.5490140385618503E-2</v>
      </c>
      <c r="AG41" s="27">
        <f>AG42+AG43+AG46+AG47</f>
        <v>19162.64745</v>
      </c>
      <c r="AH41" s="29">
        <f t="shared" si="24"/>
        <v>-9.5014182965548755E-2</v>
      </c>
      <c r="AI41" s="66">
        <f t="shared" ref="AI41:AI52" si="28">AG41/AE41</f>
        <v>0.85740812008326173</v>
      </c>
    </row>
    <row r="42" spans="2:35" s="33" customFormat="1" ht="13">
      <c r="B42" s="3" t="s">
        <v>5</v>
      </c>
      <c r="C42" s="11" t="s">
        <v>1</v>
      </c>
      <c r="D42" s="8">
        <v>3504.3618700000002</v>
      </c>
      <c r="E42" s="9">
        <v>0.94450702001916875</v>
      </c>
      <c r="F42" s="8">
        <f>F6*0.88</f>
        <v>3777.5054468799999</v>
      </c>
      <c r="G42" s="9">
        <f t="shared" si="20"/>
        <v>7.7943884510990769E-2</v>
      </c>
      <c r="H42" s="8">
        <v>3274.2316100000003</v>
      </c>
      <c r="I42" s="9">
        <f>H42/D42-1</f>
        <v>-6.5669662134521523E-2</v>
      </c>
      <c r="J42" s="66">
        <f t="shared" si="25"/>
        <v>0.8667708507751658</v>
      </c>
      <c r="K42" s="3" t="s">
        <v>5</v>
      </c>
      <c r="L42" s="11" t="s">
        <v>1</v>
      </c>
      <c r="M42" s="8">
        <v>1438.47288</v>
      </c>
      <c r="N42" s="9">
        <v>-0.59335343862744416</v>
      </c>
      <c r="O42" s="8">
        <v>2100</v>
      </c>
      <c r="P42" s="9">
        <f t="shared" si="21"/>
        <v>0.45988153770406837</v>
      </c>
      <c r="Q42" s="8">
        <v>1802.14029</v>
      </c>
      <c r="R42" s="9">
        <f>Q42/M42-1</f>
        <v>0.25281492272555051</v>
      </c>
      <c r="S42" s="66">
        <f t="shared" si="26"/>
        <v>0.85816204285714293</v>
      </c>
      <c r="T42" s="3" t="s">
        <v>5</v>
      </c>
      <c r="U42" s="11" t="s">
        <v>1</v>
      </c>
      <c r="V42" s="8">
        <v>3325.9134100000001</v>
      </c>
      <c r="W42" s="9">
        <v>-0.22870102375606072</v>
      </c>
      <c r="X42" s="8">
        <v>3400</v>
      </c>
      <c r="Y42" s="9">
        <f t="shared" si="22"/>
        <v>2.227556188842561E-2</v>
      </c>
      <c r="Z42" s="8">
        <v>3278.5331799999999</v>
      </c>
      <c r="AA42" s="9">
        <f>Z42/V42-1</f>
        <v>-1.4245779778133238E-2</v>
      </c>
      <c r="AB42" s="66">
        <f t="shared" si="27"/>
        <v>0.96427446470588229</v>
      </c>
      <c r="AC42" s="8">
        <f t="shared" ref="AC42:AC47" si="29">D42+M42+V42</f>
        <v>8268.7481599999992</v>
      </c>
      <c r="AD42" s="9">
        <v>-0.14328424679156193</v>
      </c>
      <c r="AE42" s="8">
        <f t="shared" ref="AE42:AE47" si="30">F42+O42+X42</f>
        <v>9277.5054468800008</v>
      </c>
      <c r="AF42" s="9">
        <f t="shared" si="23"/>
        <v>0.12199637325512658</v>
      </c>
      <c r="AG42" s="8">
        <f t="shared" ref="AG42:AG47" si="31">H42+Q42+Z42</f>
        <v>8354.9050800000005</v>
      </c>
      <c r="AH42" s="9">
        <f t="shared" si="24"/>
        <v>1.0419584480367172E-2</v>
      </c>
      <c r="AI42" s="66">
        <f t="shared" si="28"/>
        <v>0.90055512527990289</v>
      </c>
    </row>
    <row r="43" spans="2:35" s="33" customFormat="1" ht="13">
      <c r="B43" s="12" t="s">
        <v>6</v>
      </c>
      <c r="C43" s="4" t="s">
        <v>2</v>
      </c>
      <c r="D43" s="8">
        <v>3465.8445200000001</v>
      </c>
      <c r="E43" s="10">
        <v>0.59718752245281692</v>
      </c>
      <c r="F43" s="8">
        <f>F44+F45</f>
        <v>3100</v>
      </c>
      <c r="G43" s="10">
        <f t="shared" si="20"/>
        <v>-0.10555710675676822</v>
      </c>
      <c r="H43" s="8">
        <v>2576.0682099999999</v>
      </c>
      <c r="I43" s="10">
        <f>H43/D43-1</f>
        <v>-0.25672712808247966</v>
      </c>
      <c r="J43" s="66">
        <f t="shared" si="25"/>
        <v>0.83098974516129032</v>
      </c>
      <c r="K43" s="12" t="s">
        <v>6</v>
      </c>
      <c r="L43" s="4" t="s">
        <v>2</v>
      </c>
      <c r="M43" s="8">
        <v>2016.9545700000001</v>
      </c>
      <c r="N43" s="10">
        <v>-0.4963213411369406</v>
      </c>
      <c r="O43" s="8">
        <f>O44+O45</f>
        <v>2400</v>
      </c>
      <c r="P43" s="10">
        <f t="shared" si="21"/>
        <v>0.18991277032085052</v>
      </c>
      <c r="Q43" s="8">
        <v>1419.5292799999997</v>
      </c>
      <c r="R43" s="10">
        <f>Q43/M43-1</f>
        <v>-0.29620165911818253</v>
      </c>
      <c r="S43" s="66">
        <f t="shared" si="26"/>
        <v>0.59147053333333321</v>
      </c>
      <c r="T43" s="12" t="s">
        <v>6</v>
      </c>
      <c r="U43" s="4" t="s">
        <v>2</v>
      </c>
      <c r="V43" s="8">
        <v>2898.3321799999999</v>
      </c>
      <c r="W43" s="10">
        <v>-0.27755217843454905</v>
      </c>
      <c r="X43" s="8">
        <f>X44+X45</f>
        <v>3400</v>
      </c>
      <c r="Y43" s="10">
        <f t="shared" si="22"/>
        <v>0.17308844840552418</v>
      </c>
      <c r="Z43" s="8">
        <v>2616.9309699999999</v>
      </c>
      <c r="AA43" s="10">
        <f>Z43/V43-1</f>
        <v>-9.7090737887746137E-2</v>
      </c>
      <c r="AB43" s="66">
        <f t="shared" si="27"/>
        <v>0.76968557941176463</v>
      </c>
      <c r="AC43" s="8">
        <f t="shared" si="29"/>
        <v>8381.1312699999999</v>
      </c>
      <c r="AD43" s="10">
        <v>-0.17721022185180924</v>
      </c>
      <c r="AE43" s="8">
        <f t="shared" si="30"/>
        <v>8900</v>
      </c>
      <c r="AF43" s="10">
        <f t="shared" si="23"/>
        <v>6.1909152032646908E-2</v>
      </c>
      <c r="AG43" s="8">
        <f t="shared" si="31"/>
        <v>6612.5284599999995</v>
      </c>
      <c r="AH43" s="10">
        <f t="shared" si="24"/>
        <v>-0.21102196744378166</v>
      </c>
      <c r="AI43" s="66">
        <f t="shared" si="28"/>
        <v>0.74298072584269659</v>
      </c>
    </row>
    <row r="44" spans="2:35" s="33" customFormat="1" ht="12.5">
      <c r="B44" s="39" t="s">
        <v>11</v>
      </c>
      <c r="C44" s="39"/>
      <c r="D44" s="40">
        <v>727.976</v>
      </c>
      <c r="E44" s="41">
        <v>0.56073005126138153</v>
      </c>
      <c r="F44" s="40">
        <f>F8</f>
        <v>300</v>
      </c>
      <c r="G44" s="41">
        <f t="shared" si="20"/>
        <v>-0.58789850214842243</v>
      </c>
      <c r="H44" s="40">
        <v>441.75903</v>
      </c>
      <c r="I44" s="41"/>
      <c r="J44" s="66"/>
      <c r="K44" s="39" t="s">
        <v>11</v>
      </c>
      <c r="L44" s="39"/>
      <c r="M44" s="40">
        <v>473.84215</v>
      </c>
      <c r="N44" s="41">
        <v>-0.52887529728525862</v>
      </c>
      <c r="O44" s="40">
        <f>O8</f>
        <v>300</v>
      </c>
      <c r="P44" s="41">
        <f t="shared" si="21"/>
        <v>-0.36687776720580889</v>
      </c>
      <c r="Q44" s="40">
        <v>320.94400000000002</v>
      </c>
      <c r="R44" s="41"/>
      <c r="S44" s="66"/>
      <c r="T44" s="39" t="s">
        <v>11</v>
      </c>
      <c r="U44" s="4"/>
      <c r="V44" s="40">
        <v>886.88188000000002</v>
      </c>
      <c r="W44" s="41">
        <v>-4.3368180798370792E-2</v>
      </c>
      <c r="X44" s="40">
        <f>X8</f>
        <v>300</v>
      </c>
      <c r="Y44" s="41">
        <f t="shared" si="22"/>
        <v>-0.66173623932873671</v>
      </c>
      <c r="Z44" s="40">
        <v>518.99899000000005</v>
      </c>
      <c r="AA44" s="41"/>
      <c r="AB44" s="66"/>
      <c r="AC44" s="40">
        <f t="shared" si="29"/>
        <v>2088.70003</v>
      </c>
      <c r="AD44" s="41">
        <v>-0.12945042052041245</v>
      </c>
      <c r="AE44" s="40">
        <f t="shared" si="30"/>
        <v>900</v>
      </c>
      <c r="AF44" s="41">
        <f t="shared" si="23"/>
        <v>-0.56910997889917203</v>
      </c>
      <c r="AG44" s="40">
        <f t="shared" si="31"/>
        <v>1281.7020200000002</v>
      </c>
      <c r="AH44" s="41"/>
      <c r="AI44" s="66"/>
    </row>
    <row r="45" spans="2:35" s="33" customFormat="1" ht="13.5">
      <c r="B45" s="39" t="s">
        <v>19</v>
      </c>
      <c r="C45" s="39"/>
      <c r="D45" s="40">
        <v>2737.86852</v>
      </c>
      <c r="E45" s="41">
        <v>0.60716969232064599</v>
      </c>
      <c r="F45" s="40">
        <v>2800</v>
      </c>
      <c r="G45" s="41">
        <f t="shared" si="20"/>
        <v>2.2693376086591721E-2</v>
      </c>
      <c r="H45" s="40">
        <f>H43-H44</f>
        <v>2134.3091799999997</v>
      </c>
      <c r="I45" s="10">
        <f t="shared" ref="I45:I52" si="32">H45/D45-1</f>
        <v>-0.22044862110471264</v>
      </c>
      <c r="J45" s="66">
        <f t="shared" si="25"/>
        <v>0.76225327857142844</v>
      </c>
      <c r="K45" s="39" t="s">
        <v>19</v>
      </c>
      <c r="L45" s="39"/>
      <c r="M45" s="40">
        <v>1543.1124200000002</v>
      </c>
      <c r="N45" s="41">
        <v>-0.48540262468560513</v>
      </c>
      <c r="O45" s="8">
        <v>2100</v>
      </c>
      <c r="P45" s="41">
        <f t="shared" si="21"/>
        <v>0.36088594245129579</v>
      </c>
      <c r="Q45" s="40">
        <f>Q43-Q44</f>
        <v>1098.5852799999998</v>
      </c>
      <c r="R45" s="10">
        <f t="shared" ref="R45:R52" si="33">Q45/M45-1</f>
        <v>-0.28807177898289504</v>
      </c>
      <c r="S45" s="66">
        <f t="shared" si="26"/>
        <v>0.52313584761904752</v>
      </c>
      <c r="T45" s="39" t="s">
        <v>19</v>
      </c>
      <c r="U45" s="4"/>
      <c r="V45" s="40">
        <v>2011.4503</v>
      </c>
      <c r="W45" s="41">
        <v>-0.34793398858072044</v>
      </c>
      <c r="X45" s="8">
        <v>3100</v>
      </c>
      <c r="Y45" s="41">
        <f t="shared" si="22"/>
        <v>0.54117653317111536</v>
      </c>
      <c r="Z45" s="8">
        <f>Z43-Z44</f>
        <v>2097.9319799999998</v>
      </c>
      <c r="AA45" s="41"/>
      <c r="AB45" s="66">
        <f t="shared" si="27"/>
        <v>0.6767522516129032</v>
      </c>
      <c r="AC45" s="40">
        <f t="shared" si="29"/>
        <v>6292.4312399999999</v>
      </c>
      <c r="AD45" s="41">
        <v>-0.19192581688781085</v>
      </c>
      <c r="AE45" s="40">
        <f t="shared" si="30"/>
        <v>8000</v>
      </c>
      <c r="AF45" s="41">
        <f t="shared" si="23"/>
        <v>0.27136868006522707</v>
      </c>
      <c r="AG45" s="40">
        <f t="shared" si="31"/>
        <v>5330.8264399999989</v>
      </c>
      <c r="AH45" s="41">
        <f t="shared" si="24"/>
        <v>-0.15281927816504848</v>
      </c>
      <c r="AI45" s="66">
        <f t="shared" si="28"/>
        <v>0.6663533049999999</v>
      </c>
    </row>
    <row r="46" spans="2:35" s="33" customFormat="1" ht="13">
      <c r="B46" s="12" t="s">
        <v>7</v>
      </c>
      <c r="C46" s="4" t="s">
        <v>15</v>
      </c>
      <c r="D46" s="8">
        <v>633.02587000000005</v>
      </c>
      <c r="E46" s="10">
        <v>0.34379968989852094</v>
      </c>
      <c r="F46" s="8">
        <v>730</v>
      </c>
      <c r="G46" s="10">
        <f t="shared" si="20"/>
        <v>0.15319141696373317</v>
      </c>
      <c r="H46" s="8">
        <v>561.48641000000021</v>
      </c>
      <c r="I46" s="10">
        <f t="shared" si="32"/>
        <v>-0.11301190581673992</v>
      </c>
      <c r="J46" s="66">
        <f t="shared" si="25"/>
        <v>0.76915946575342498</v>
      </c>
      <c r="K46" s="12" t="s">
        <v>7</v>
      </c>
      <c r="L46" s="4" t="s">
        <v>15</v>
      </c>
      <c r="M46" s="8">
        <v>185.79198</v>
      </c>
      <c r="N46" s="10">
        <v>-0.77113224264064772</v>
      </c>
      <c r="O46" s="8">
        <v>370</v>
      </c>
      <c r="P46" s="10">
        <f t="shared" si="21"/>
        <v>0.99147455126965123</v>
      </c>
      <c r="Q46" s="8">
        <v>212.40985000000001</v>
      </c>
      <c r="R46" s="10">
        <f t="shared" si="33"/>
        <v>0.1432670559837943</v>
      </c>
      <c r="S46" s="66">
        <f t="shared" si="26"/>
        <v>0.57408067567567567</v>
      </c>
      <c r="T46" s="12" t="s">
        <v>7</v>
      </c>
      <c r="U46" s="4" t="s">
        <v>15</v>
      </c>
      <c r="V46" s="8">
        <v>1265.7977800000001</v>
      </c>
      <c r="W46" s="10">
        <v>0.83795037014190044</v>
      </c>
      <c r="X46" s="8">
        <v>610</v>
      </c>
      <c r="Y46" s="10">
        <f t="shared" si="22"/>
        <v>-0.51809048045573292</v>
      </c>
      <c r="Z46" s="8">
        <v>1189.7704100000001</v>
      </c>
      <c r="AA46" s="10">
        <f t="shared" ref="AA46:AA52" si="34">Z46/V46-1</f>
        <v>-6.0062808768711839E-2</v>
      </c>
      <c r="AB46" s="66">
        <f t="shared" si="27"/>
        <v>1.9504432950819675</v>
      </c>
      <c r="AC46" s="8">
        <f t="shared" si="29"/>
        <v>2084.6156300000002</v>
      </c>
      <c r="AD46" s="10">
        <v>5.7343332346872833E-2</v>
      </c>
      <c r="AE46" s="8">
        <f t="shared" si="30"/>
        <v>1710</v>
      </c>
      <c r="AF46" s="10">
        <f t="shared" si="23"/>
        <v>-0.17970489360669339</v>
      </c>
      <c r="AG46" s="8">
        <f t="shared" si="31"/>
        <v>1963.6666700000003</v>
      </c>
      <c r="AH46" s="10">
        <f t="shared" si="24"/>
        <v>-5.8019789480327377E-2</v>
      </c>
      <c r="AI46" s="66">
        <f t="shared" si="28"/>
        <v>1.1483430818713452</v>
      </c>
    </row>
    <row r="47" spans="2:35" s="33" customFormat="1" ht="13">
      <c r="B47" s="12" t="s">
        <v>8</v>
      </c>
      <c r="C47" s="4" t="s">
        <v>3</v>
      </c>
      <c r="D47" s="8">
        <v>1112.1040399999999</v>
      </c>
      <c r="E47" s="9">
        <v>1.0604162388815781</v>
      </c>
      <c r="F47" s="8">
        <f>F11*0.92</f>
        <v>1012</v>
      </c>
      <c r="G47" s="9">
        <f t="shared" si="20"/>
        <v>-9.0013196966715392E-2</v>
      </c>
      <c r="H47" s="8">
        <v>745.95925000000011</v>
      </c>
      <c r="I47" s="9">
        <f t="shared" si="32"/>
        <v>-0.3292360937741039</v>
      </c>
      <c r="J47" s="66">
        <f t="shared" si="25"/>
        <v>0.73711388339920958</v>
      </c>
      <c r="K47" s="12" t="s">
        <v>8</v>
      </c>
      <c r="L47" s="4" t="s">
        <v>3</v>
      </c>
      <c r="M47" s="8">
        <v>508.47705999999999</v>
      </c>
      <c r="N47" s="9">
        <v>-0.50761395827988021</v>
      </c>
      <c r="O47" s="8">
        <v>650</v>
      </c>
      <c r="P47" s="9">
        <f t="shared" si="21"/>
        <v>0.27832708913161186</v>
      </c>
      <c r="Q47" s="8">
        <v>656.64612</v>
      </c>
      <c r="R47" s="9">
        <f t="shared" si="33"/>
        <v>0.2913977279525648</v>
      </c>
      <c r="S47" s="66">
        <f t="shared" si="26"/>
        <v>1.0102248</v>
      </c>
      <c r="T47" s="12" t="s">
        <v>8</v>
      </c>
      <c r="U47" s="4" t="s">
        <v>3</v>
      </c>
      <c r="V47" s="8">
        <v>819.45176000000004</v>
      </c>
      <c r="W47" s="9">
        <v>8.9824548615380362E-3</v>
      </c>
      <c r="X47" s="8">
        <v>800</v>
      </c>
      <c r="Y47" s="9">
        <f t="shared" si="22"/>
        <v>-2.3737529101164001E-2</v>
      </c>
      <c r="Z47" s="8">
        <v>828.94187000000011</v>
      </c>
      <c r="AA47" s="9">
        <f t="shared" si="34"/>
        <v>1.1581047797127209E-2</v>
      </c>
      <c r="AB47" s="66">
        <f t="shared" si="27"/>
        <v>1.0361773375000001</v>
      </c>
      <c r="AC47" s="8">
        <f t="shared" si="29"/>
        <v>2440.0328599999998</v>
      </c>
      <c r="AD47" s="9">
        <v>2.3253246882458667E-2</v>
      </c>
      <c r="AE47" s="8">
        <f t="shared" si="30"/>
        <v>2462</v>
      </c>
      <c r="AF47" s="9">
        <f t="shared" si="23"/>
        <v>9.0028049868149385E-3</v>
      </c>
      <c r="AG47" s="8">
        <f t="shared" si="31"/>
        <v>2231.5472400000003</v>
      </c>
      <c r="AH47" s="9">
        <f t="shared" si="24"/>
        <v>-8.544377553997351E-2</v>
      </c>
      <c r="AI47" s="66">
        <f t="shared" si="28"/>
        <v>0.90639611697806677</v>
      </c>
    </row>
    <row r="48" spans="2:35" s="33" customFormat="1" ht="12.5">
      <c r="B48" s="26" t="s">
        <v>16</v>
      </c>
      <c r="C48" s="30"/>
      <c r="D48" s="27">
        <v>2585.7403100000001</v>
      </c>
      <c r="E48" s="29">
        <v>0.3762057877813505</v>
      </c>
      <c r="F48" s="27">
        <f>F49+F50</f>
        <v>3750</v>
      </c>
      <c r="G48" s="31">
        <f t="shared" si="20"/>
        <v>0.45026164673126035</v>
      </c>
      <c r="H48" s="27">
        <f>H49+H50</f>
        <v>1088.7861800000001</v>
      </c>
      <c r="I48" s="31">
        <f t="shared" si="32"/>
        <v>-0.57892670977465643</v>
      </c>
      <c r="J48" s="66">
        <f t="shared" si="25"/>
        <v>0.29034298133333336</v>
      </c>
      <c r="K48" s="26" t="s">
        <v>16</v>
      </c>
      <c r="L48" s="30"/>
      <c r="M48" s="27">
        <v>1408.0726999999999</v>
      </c>
      <c r="N48" s="29">
        <v>-0.33916406768495355</v>
      </c>
      <c r="O48" s="27">
        <f>O49+O50</f>
        <v>2000</v>
      </c>
      <c r="P48" s="31">
        <f t="shared" si="21"/>
        <v>0.42038120616925534</v>
      </c>
      <c r="Q48" s="27">
        <f>Q49+Q50</f>
        <v>1142.3882100000001</v>
      </c>
      <c r="R48" s="31">
        <f t="shared" si="33"/>
        <v>-0.1886866281833316</v>
      </c>
      <c r="S48" s="66">
        <f t="shared" si="26"/>
        <v>0.57119410500000001</v>
      </c>
      <c r="T48" s="26" t="s">
        <v>16</v>
      </c>
      <c r="U48" s="30"/>
      <c r="V48" s="27">
        <v>2339.6672900000003</v>
      </c>
      <c r="W48" s="29">
        <v>0.16279344811475016</v>
      </c>
      <c r="X48" s="27">
        <f>X49+X50</f>
        <v>4500</v>
      </c>
      <c r="Y48" s="31">
        <f t="shared" si="22"/>
        <v>0.92335039226880822</v>
      </c>
      <c r="Z48" s="27">
        <f>Z49+Z50</f>
        <v>1789.4502299999997</v>
      </c>
      <c r="AA48" s="31">
        <f t="shared" si="34"/>
        <v>-0.23516893292977592</v>
      </c>
      <c r="AB48" s="66">
        <f t="shared" si="27"/>
        <v>0.39765560666666661</v>
      </c>
      <c r="AC48" s="27">
        <f>AC49+AC50</f>
        <v>6333.4803000000002</v>
      </c>
      <c r="AD48" s="29">
        <v>-2.5945439966964523E-2</v>
      </c>
      <c r="AE48" s="27">
        <f>AE49+AE50</f>
        <v>10250</v>
      </c>
      <c r="AF48" s="31">
        <f t="shared" si="23"/>
        <v>0.61838349761662625</v>
      </c>
      <c r="AG48" s="27">
        <f>AG49+AG50</f>
        <v>4020.6246199999996</v>
      </c>
      <c r="AH48" s="31">
        <f t="shared" si="24"/>
        <v>-0.36517926486642749</v>
      </c>
      <c r="AI48" s="66">
        <f t="shared" si="28"/>
        <v>0.39225606048780481</v>
      </c>
    </row>
    <row r="49" spans="2:39" s="33" customFormat="1" ht="13">
      <c r="B49" s="12" t="s">
        <v>9</v>
      </c>
      <c r="C49" s="4" t="s">
        <v>0</v>
      </c>
      <c r="D49" s="15">
        <v>1803.2785200000001</v>
      </c>
      <c r="E49" s="9">
        <v>-9.3166570413681482E-2</v>
      </c>
      <c r="F49" s="8">
        <v>2800</v>
      </c>
      <c r="G49" s="10">
        <f t="shared" si="20"/>
        <v>0.55272741783670765</v>
      </c>
      <c r="H49" s="8">
        <v>541.92949999999996</v>
      </c>
      <c r="I49" s="10">
        <f t="shared" si="32"/>
        <v>-0.69947543100552212</v>
      </c>
      <c r="J49" s="66">
        <f t="shared" si="25"/>
        <v>0.19354624999999998</v>
      </c>
      <c r="K49" s="12" t="s">
        <v>9</v>
      </c>
      <c r="L49" s="4" t="s">
        <v>0</v>
      </c>
      <c r="M49" s="15">
        <v>880.80899999999997</v>
      </c>
      <c r="N49" s="9">
        <v>-0.37603274451488256</v>
      </c>
      <c r="O49" s="8">
        <v>1400</v>
      </c>
      <c r="P49" s="10">
        <f t="shared" si="21"/>
        <v>0.58944788257159053</v>
      </c>
      <c r="Q49" s="8">
        <v>694.46855000000005</v>
      </c>
      <c r="R49" s="10">
        <f t="shared" si="33"/>
        <v>-0.2115560240642409</v>
      </c>
      <c r="S49" s="66">
        <f t="shared" si="26"/>
        <v>0.49604896428571432</v>
      </c>
      <c r="T49" s="12" t="s">
        <v>9</v>
      </c>
      <c r="U49" s="4" t="s">
        <v>0</v>
      </c>
      <c r="V49" s="15">
        <v>1711.9536900000001</v>
      </c>
      <c r="W49" s="9">
        <v>0.31944749662709016</v>
      </c>
      <c r="X49" s="8">
        <v>3200</v>
      </c>
      <c r="Y49" s="10">
        <f t="shared" si="22"/>
        <v>0.86920944105678455</v>
      </c>
      <c r="Z49" s="8">
        <v>1449.7952299999997</v>
      </c>
      <c r="AA49" s="10">
        <f t="shared" si="34"/>
        <v>-0.15313408390153371</v>
      </c>
      <c r="AB49" s="66">
        <f t="shared" si="27"/>
        <v>0.45306100937499993</v>
      </c>
      <c r="AC49" s="8">
        <f>D49+M49+V49</f>
        <v>4396.0412100000003</v>
      </c>
      <c r="AD49" s="9">
        <v>-6.4203991842277097E-2</v>
      </c>
      <c r="AE49" s="8">
        <f>F49+O49+X49</f>
        <v>7400</v>
      </c>
      <c r="AF49" s="10">
        <f t="shared" si="23"/>
        <v>0.68333271834819742</v>
      </c>
      <c r="AG49" s="8">
        <f>H49+Q49+Z49</f>
        <v>2686.1932799999995</v>
      </c>
      <c r="AH49" s="10">
        <f t="shared" si="24"/>
        <v>-0.3889517518876946</v>
      </c>
      <c r="AI49" s="66">
        <f t="shared" si="28"/>
        <v>0.36299909189189183</v>
      </c>
    </row>
    <row r="50" spans="2:39" s="33" customFormat="1" ht="13">
      <c r="B50" s="13" t="s">
        <v>10</v>
      </c>
      <c r="C50" s="14" t="s">
        <v>4</v>
      </c>
      <c r="D50" s="16">
        <v>782.46178999999995</v>
      </c>
      <c r="E50" s="17">
        <v>1.1102898903170115</v>
      </c>
      <c r="F50" s="18">
        <v>950</v>
      </c>
      <c r="G50" s="19">
        <f t="shared" si="20"/>
        <v>0.21411679412486073</v>
      </c>
      <c r="H50" s="18">
        <v>546.85667999999998</v>
      </c>
      <c r="I50" s="19">
        <f t="shared" si="32"/>
        <v>-0.30110749561330019</v>
      </c>
      <c r="J50" s="66">
        <f t="shared" si="25"/>
        <v>0.57563861052631582</v>
      </c>
      <c r="K50" s="13" t="s">
        <v>10</v>
      </c>
      <c r="L50" s="14" t="s">
        <v>4</v>
      </c>
      <c r="M50" s="16">
        <v>527.26369999999997</v>
      </c>
      <c r="N50" s="17">
        <v>-0.26679092076430266</v>
      </c>
      <c r="O50" s="18">
        <v>600</v>
      </c>
      <c r="P50" s="19">
        <f t="shared" si="21"/>
        <v>0.13795051698040295</v>
      </c>
      <c r="Q50" s="18">
        <v>447.91966000000008</v>
      </c>
      <c r="R50" s="19">
        <f t="shared" si="33"/>
        <v>-0.15048265222885604</v>
      </c>
      <c r="S50" s="66">
        <f t="shared" si="26"/>
        <v>0.74653276666666679</v>
      </c>
      <c r="T50" s="13" t="s">
        <v>10</v>
      </c>
      <c r="U50" s="14" t="s">
        <v>4</v>
      </c>
      <c r="V50" s="16">
        <v>627.71360000000004</v>
      </c>
      <c r="W50" s="17">
        <v>-0.12162608243561335</v>
      </c>
      <c r="X50" s="18">
        <v>1300</v>
      </c>
      <c r="Y50" s="19">
        <f t="shared" si="22"/>
        <v>1.071008179526459</v>
      </c>
      <c r="Z50" s="18">
        <v>339.65499999999997</v>
      </c>
      <c r="AA50" s="19">
        <f t="shared" si="34"/>
        <v>-0.45890132060226196</v>
      </c>
      <c r="AB50" s="66">
        <f t="shared" si="27"/>
        <v>0.26127307692307689</v>
      </c>
      <c r="AC50" s="16">
        <f>D50+M50+V50</f>
        <v>1937.4390899999999</v>
      </c>
      <c r="AD50" s="17">
        <v>7.3651089554598537E-2</v>
      </c>
      <c r="AE50" s="16">
        <f>F50+O50+X50</f>
        <v>2850</v>
      </c>
      <c r="AF50" s="19">
        <f t="shared" si="23"/>
        <v>0.47101398681906437</v>
      </c>
      <c r="AG50" s="16">
        <f>H50+Q50+Z50</f>
        <v>1334.4313400000001</v>
      </c>
      <c r="AH50" s="19">
        <f t="shared" si="24"/>
        <v>-0.31123959102115561</v>
      </c>
      <c r="AI50" s="66">
        <f t="shared" si="28"/>
        <v>0.46822152280701756</v>
      </c>
    </row>
    <row r="51" spans="2:39" s="33" customFormat="1" ht="13">
      <c r="B51" s="83" t="s">
        <v>30</v>
      </c>
      <c r="D51" s="42">
        <v>7987.3603000000012</v>
      </c>
      <c r="E51" s="43">
        <v>0.76846951177527001</v>
      </c>
      <c r="F51" s="42">
        <f>F41-F44</f>
        <v>8319.5054468800008</v>
      </c>
      <c r="G51" s="45">
        <f t="shared" si="20"/>
        <v>4.1583844274559523E-2</v>
      </c>
      <c r="H51" s="44">
        <f>H41</f>
        <v>7157.7454800000005</v>
      </c>
      <c r="I51" s="45">
        <f t="shared" si="32"/>
        <v>-0.10386595681679722</v>
      </c>
      <c r="J51" s="66">
        <f>H51/F51</f>
        <v>0.86035708801468647</v>
      </c>
      <c r="K51" s="83" t="s">
        <v>30</v>
      </c>
      <c r="M51" s="42">
        <v>3675.8543400000003</v>
      </c>
      <c r="N51" s="34">
        <v>-0.5613826634489254</v>
      </c>
      <c r="O51" s="42">
        <f>O41-O44</f>
        <v>5220</v>
      </c>
      <c r="P51" s="45">
        <f t="shared" si="21"/>
        <v>0.42007803279822009</v>
      </c>
      <c r="Q51" s="44">
        <f>Q41</f>
        <v>4090.7255399999999</v>
      </c>
      <c r="R51" s="45">
        <f t="shared" si="33"/>
        <v>0.11286388459016017</v>
      </c>
      <c r="S51" s="66">
        <f t="shared" si="26"/>
        <v>0.78366389655172408</v>
      </c>
      <c r="T51" s="83" t="s">
        <v>30</v>
      </c>
      <c r="V51" s="42">
        <v>7422.6132500000012</v>
      </c>
      <c r="W51" s="34">
        <v>-0.16578153382487471</v>
      </c>
      <c r="X51" s="42">
        <f>X41-X44</f>
        <v>7910</v>
      </c>
      <c r="Y51" s="45">
        <f t="shared" si="22"/>
        <v>6.5662420172571734E-2</v>
      </c>
      <c r="Z51" s="42">
        <f>Z41-Z44</f>
        <v>7395.1774399999995</v>
      </c>
      <c r="AA51" s="45">
        <f t="shared" si="34"/>
        <v>-3.6962467362827711E-3</v>
      </c>
      <c r="AB51" s="66">
        <f t="shared" si="27"/>
        <v>0.93491497345132735</v>
      </c>
      <c r="AC51" s="42">
        <f>AC41-AC44</f>
        <v>19085.82789</v>
      </c>
      <c r="AD51" s="34">
        <v>-0.1242933406568747</v>
      </c>
      <c r="AE51" s="42">
        <f>AE41-AE44</f>
        <v>21449.505446880001</v>
      </c>
      <c r="AF51" s="45">
        <f t="shared" si="23"/>
        <v>0.12384464381125682</v>
      </c>
      <c r="AG51" s="42">
        <f>AG41-AG44</f>
        <v>17880.94543</v>
      </c>
      <c r="AH51" s="45">
        <f t="shared" si="24"/>
        <v>-6.3129693243817675E-2</v>
      </c>
      <c r="AI51" s="66">
        <f t="shared" si="28"/>
        <v>0.83362972979877836</v>
      </c>
    </row>
    <row r="52" spans="2:39" s="33" customFormat="1" ht="13">
      <c r="B52" s="84" t="s">
        <v>31</v>
      </c>
      <c r="D52" s="42">
        <v>10573.10061</v>
      </c>
      <c r="E52" s="43">
        <v>0.53771168647666867</v>
      </c>
      <c r="F52" s="42">
        <f>F40-F44</f>
        <v>12069.505446880001</v>
      </c>
      <c r="G52" s="45">
        <f t="shared" si="20"/>
        <v>0.14152942377798872</v>
      </c>
      <c r="H52" s="44">
        <f>H40</f>
        <v>8246.5316600000006</v>
      </c>
      <c r="I52" s="45">
        <f t="shared" si="32"/>
        <v>-0.22004604286083673</v>
      </c>
      <c r="J52" s="66">
        <f t="shared" si="25"/>
        <v>0.68325348509882411</v>
      </c>
      <c r="K52" s="84" t="s">
        <v>31</v>
      </c>
      <c r="M52" s="42">
        <v>5083.9270399999996</v>
      </c>
      <c r="N52" s="34">
        <v>-0.51633672593328139</v>
      </c>
      <c r="O52" s="42">
        <f>O40-O44</f>
        <v>7220</v>
      </c>
      <c r="P52" s="45">
        <f t="shared" si="21"/>
        <v>0.42016200138072812</v>
      </c>
      <c r="Q52" s="44">
        <f>Q40</f>
        <v>5233.1137500000004</v>
      </c>
      <c r="R52" s="45">
        <f t="shared" si="33"/>
        <v>2.934477792977952E-2</v>
      </c>
      <c r="S52" s="66">
        <f t="shared" si="26"/>
        <v>0.72480799861495848</v>
      </c>
      <c r="T52" s="84" t="s">
        <v>31</v>
      </c>
      <c r="V52" s="42">
        <v>9762.2805399999997</v>
      </c>
      <c r="W52" s="34">
        <v>-0.10518197536126739</v>
      </c>
      <c r="X52" s="42">
        <f>X40-X44</f>
        <v>12410</v>
      </c>
      <c r="Y52" s="45">
        <f t="shared" si="22"/>
        <v>0.27121935793088769</v>
      </c>
      <c r="Z52" s="42">
        <f>Z40-Z44</f>
        <v>9184.6276699999999</v>
      </c>
      <c r="AA52" s="45">
        <f t="shared" si="34"/>
        <v>-5.9171918654982614E-2</v>
      </c>
      <c r="AB52" s="66">
        <f t="shared" si="27"/>
        <v>0.74009892586623693</v>
      </c>
      <c r="AC52" s="42">
        <f>AC40-AC44</f>
        <v>25419.30819</v>
      </c>
      <c r="AD52" s="34">
        <v>-0.10169458506958529</v>
      </c>
      <c r="AE52" s="42">
        <f>AE40-AE44</f>
        <v>31699.505446880001</v>
      </c>
      <c r="AF52" s="45">
        <f t="shared" si="23"/>
        <v>0.24706405107243001</v>
      </c>
      <c r="AG52" s="42">
        <f>AG40-AG44</f>
        <v>21901.570049999998</v>
      </c>
      <c r="AH52" s="45">
        <f t="shared" si="24"/>
        <v>-0.13838842952397445</v>
      </c>
      <c r="AI52" s="66">
        <f t="shared" si="28"/>
        <v>0.69091204235666215</v>
      </c>
    </row>
    <row r="53" spans="2:39" s="33" customFormat="1" ht="12.5">
      <c r="J53" s="66"/>
      <c r="S53" s="69"/>
      <c r="AB53" s="69"/>
    </row>
    <row r="54" spans="2:39" s="33" customFormat="1" ht="12.5">
      <c r="B54" s="172"/>
      <c r="F54" s="173"/>
      <c r="G54" s="193"/>
      <c r="J54" s="66"/>
      <c r="K54" s="175"/>
      <c r="L54" s="100"/>
      <c r="M54" s="100"/>
      <c r="N54" s="100"/>
      <c r="O54" s="176"/>
      <c r="P54" s="193"/>
      <c r="Q54" s="176"/>
      <c r="R54" s="177"/>
      <c r="T54" s="175"/>
      <c r="V54" s="175"/>
      <c r="W54" s="100"/>
      <c r="X54" s="176"/>
      <c r="Y54" s="193"/>
      <c r="Z54" s="176"/>
      <c r="AA54" s="177"/>
      <c r="AB54" s="175"/>
      <c r="AC54" s="177"/>
      <c r="AE54" s="176"/>
      <c r="AF54" s="193"/>
      <c r="AJ54" s="176"/>
      <c r="AK54" s="177"/>
      <c r="AL54" s="176"/>
      <c r="AM54" s="177"/>
    </row>
    <row r="55" spans="2:39" s="33" customFormat="1" ht="12.5">
      <c r="J55" s="66"/>
      <c r="S55" s="69"/>
      <c r="AB55" s="69"/>
    </row>
    <row r="56" spans="2:39" s="33" customFormat="1" ht="13">
      <c r="B56" s="441" t="s">
        <v>17</v>
      </c>
      <c r="C56" s="442"/>
      <c r="D56" s="445" t="s">
        <v>35</v>
      </c>
      <c r="E56" s="446"/>
      <c r="F56" s="447" t="s">
        <v>37</v>
      </c>
      <c r="G56" s="448"/>
      <c r="H56" s="445" t="s">
        <v>81</v>
      </c>
      <c r="I56" s="446"/>
      <c r="J56" s="66"/>
      <c r="S56" s="69"/>
      <c r="AB56" s="69"/>
    </row>
    <row r="57" spans="2:39" s="33" customFormat="1" ht="13">
      <c r="B57" s="443"/>
      <c r="C57" s="444"/>
      <c r="D57" s="6" t="s">
        <v>44</v>
      </c>
      <c r="E57" s="75" t="s">
        <v>26</v>
      </c>
      <c r="F57" s="88" t="s">
        <v>44</v>
      </c>
      <c r="G57" s="89" t="s">
        <v>26</v>
      </c>
      <c r="H57" s="6" t="s">
        <v>44</v>
      </c>
      <c r="I57" s="75" t="s">
        <v>26</v>
      </c>
      <c r="J57" s="127" t="s">
        <v>72</v>
      </c>
      <c r="S57" s="69"/>
      <c r="AB57" s="69"/>
    </row>
    <row r="58" spans="2:39" s="33" customFormat="1" ht="12.5">
      <c r="B58" s="20" t="s">
        <v>13</v>
      </c>
      <c r="C58" s="21"/>
      <c r="D58" s="22">
        <v>16858.845799999999</v>
      </c>
      <c r="E58" s="23">
        <v>-6.6629854237357233E-2</v>
      </c>
      <c r="F58" s="22">
        <f>F59+F66</f>
        <v>19889.505446880001</v>
      </c>
      <c r="G58" s="24">
        <f t="shared" ref="G58:G70" si="35">F58/D58-1</f>
        <v>0.17976673390535436</v>
      </c>
      <c r="H58" s="22">
        <f>H59+H66</f>
        <v>13479.645410000001</v>
      </c>
      <c r="I58" s="24">
        <f t="shared" ref="I58:I70" si="36">H58/D58-1</f>
        <v>-0.20044079114834767</v>
      </c>
      <c r="J58" s="66">
        <f>H58/F58</f>
        <v>0.67772652497573826</v>
      </c>
      <c r="S58" s="69"/>
      <c r="AB58" s="69"/>
    </row>
    <row r="59" spans="2:39" s="33" customFormat="1" ht="12.5">
      <c r="B59" s="25" t="s">
        <v>14</v>
      </c>
      <c r="C59" s="26"/>
      <c r="D59" s="27">
        <v>12865.032789999999</v>
      </c>
      <c r="E59" s="28">
        <v>-6.0698238880510513E-2</v>
      </c>
      <c r="F59" s="27">
        <f>F60+F61+F64+F65</f>
        <v>14139.505446880001</v>
      </c>
      <c r="G59" s="29">
        <f t="shared" si="35"/>
        <v>9.9064858806318101E-2</v>
      </c>
      <c r="H59" s="27">
        <f>H60+H61+H64+H65</f>
        <v>11248.471020000001</v>
      </c>
      <c r="I59" s="29">
        <f t="shared" si="36"/>
        <v>-0.12565547219254292</v>
      </c>
      <c r="J59" s="66">
        <f t="shared" ref="J59:J70" si="37">H59/F59</f>
        <v>0.79553496847954253</v>
      </c>
      <c r="S59" s="69"/>
      <c r="AB59" s="69"/>
    </row>
    <row r="60" spans="2:39" s="33" customFormat="1" ht="13">
      <c r="B60" s="3" t="s">
        <v>5</v>
      </c>
      <c r="C60" s="11" t="s">
        <v>1</v>
      </c>
      <c r="D60" s="8">
        <v>4942.83475</v>
      </c>
      <c r="E60" s="9">
        <v>-3.290123600215944E-2</v>
      </c>
      <c r="F60" s="8">
        <f t="shared" ref="F60:F65" si="38">F42+O42</f>
        <v>5877.5054468799999</v>
      </c>
      <c r="G60" s="9">
        <f t="shared" si="35"/>
        <v>0.18909608436333025</v>
      </c>
      <c r="H60" s="8">
        <f>H42+Q42</f>
        <v>5076.3719000000001</v>
      </c>
      <c r="I60" s="9">
        <f t="shared" si="36"/>
        <v>2.7016308809433731E-2</v>
      </c>
      <c r="J60" s="66">
        <f t="shared" si="37"/>
        <v>0.86369497159627961</v>
      </c>
      <c r="S60" s="69"/>
      <c r="AB60" s="69"/>
    </row>
    <row r="61" spans="2:39" s="33" customFormat="1" ht="12.5" customHeight="1">
      <c r="B61" s="12" t="s">
        <v>6</v>
      </c>
      <c r="C61" s="4" t="s">
        <v>2</v>
      </c>
      <c r="D61" s="8">
        <v>5482.7990900000004</v>
      </c>
      <c r="E61" s="10">
        <v>-9.1636805794869325E-2</v>
      </c>
      <c r="F61" s="8">
        <f t="shared" si="38"/>
        <v>5500</v>
      </c>
      <c r="G61" s="10">
        <f t="shared" si="35"/>
        <v>3.1372497364297036E-3</v>
      </c>
      <c r="H61" s="8">
        <f>H43+Q43</f>
        <v>3995.5974899999997</v>
      </c>
      <c r="I61" s="10">
        <f t="shared" si="36"/>
        <v>-0.27124860415047614</v>
      </c>
      <c r="J61" s="66">
        <f t="shared" si="37"/>
        <v>0.72647227090909083</v>
      </c>
      <c r="K61" s="46"/>
      <c r="L61" s="46"/>
      <c r="M61" s="46"/>
      <c r="N61" s="46"/>
      <c r="O61" s="46"/>
      <c r="P61" s="46"/>
      <c r="Q61" s="46"/>
      <c r="R61" s="46"/>
      <c r="S61" s="70"/>
      <c r="T61" s="46"/>
      <c r="U61" s="46"/>
      <c r="V61" s="46"/>
      <c r="W61" s="46"/>
      <c r="X61" s="46"/>
      <c r="Y61" s="46"/>
      <c r="Z61" s="46"/>
      <c r="AA61" s="46"/>
      <c r="AB61" s="70"/>
      <c r="AC61" s="46"/>
      <c r="AD61" s="46"/>
      <c r="AE61" s="46"/>
      <c r="AF61" s="46"/>
      <c r="AG61" s="46"/>
      <c r="AH61" s="46"/>
    </row>
    <row r="62" spans="2:39" s="33" customFormat="1" ht="12.5">
      <c r="B62" s="39" t="s">
        <v>11</v>
      </c>
      <c r="C62" s="39"/>
      <c r="D62" s="40">
        <v>1201.8181500000001</v>
      </c>
      <c r="E62" s="41">
        <v>-0.18365892293239849</v>
      </c>
      <c r="F62" s="40">
        <f t="shared" si="38"/>
        <v>600</v>
      </c>
      <c r="G62" s="41">
        <f t="shared" si="35"/>
        <v>-0.5007564164345496</v>
      </c>
      <c r="H62" s="40">
        <f t="shared" ref="H62:H63" si="39">H44+Q44</f>
        <v>762.70303000000001</v>
      </c>
      <c r="I62" s="41">
        <f t="shared" si="36"/>
        <v>-0.36537567684428796</v>
      </c>
      <c r="J62" s="66"/>
      <c r="K62" s="47"/>
      <c r="L62" s="47"/>
      <c r="M62" s="48"/>
      <c r="N62" s="49"/>
      <c r="O62" s="49"/>
      <c r="P62" s="49"/>
      <c r="Q62" s="48"/>
      <c r="R62" s="49"/>
      <c r="S62" s="70"/>
      <c r="T62" s="35"/>
      <c r="U62" s="2"/>
      <c r="V62" s="37"/>
      <c r="W62" s="36"/>
      <c r="X62" s="36"/>
      <c r="Y62" s="36"/>
      <c r="Z62" s="37"/>
      <c r="AA62" s="36"/>
      <c r="AB62" s="70"/>
      <c r="AC62" s="37"/>
      <c r="AD62" s="36"/>
      <c r="AE62" s="36"/>
      <c r="AF62" s="36"/>
      <c r="AG62" s="37"/>
      <c r="AH62" s="36"/>
    </row>
    <row r="63" spans="2:39" s="33" customFormat="1" ht="13.5">
      <c r="B63" s="39" t="s">
        <v>19</v>
      </c>
      <c r="C63" s="39"/>
      <c r="D63" s="40">
        <v>4280.9809400000004</v>
      </c>
      <c r="E63" s="41">
        <v>-8.9581728760949497E-2</v>
      </c>
      <c r="F63" s="40">
        <f t="shared" si="38"/>
        <v>4900</v>
      </c>
      <c r="G63" s="41">
        <f t="shared" si="35"/>
        <v>0.14459748096892944</v>
      </c>
      <c r="H63" s="40">
        <f t="shared" si="39"/>
        <v>3232.8944599999995</v>
      </c>
      <c r="I63" s="41">
        <f t="shared" si="36"/>
        <v>-0.2448239071113455</v>
      </c>
      <c r="J63" s="66">
        <f t="shared" si="37"/>
        <v>0.6597743795918366</v>
      </c>
      <c r="K63" s="47"/>
      <c r="L63" s="47"/>
      <c r="M63" s="48"/>
      <c r="N63" s="49"/>
      <c r="O63" s="49"/>
      <c r="P63" s="49"/>
      <c r="Q63" s="48"/>
      <c r="R63" s="49"/>
      <c r="S63" s="70"/>
      <c r="T63" s="35"/>
      <c r="U63" s="2"/>
      <c r="V63" s="37"/>
      <c r="W63" s="36"/>
      <c r="X63" s="36"/>
      <c r="Y63" s="36"/>
      <c r="Z63" s="37"/>
      <c r="AA63" s="36"/>
      <c r="AB63" s="70"/>
      <c r="AC63" s="37"/>
      <c r="AD63" s="36"/>
      <c r="AE63" s="36"/>
      <c r="AF63" s="36"/>
      <c r="AG63" s="37"/>
      <c r="AH63" s="36"/>
    </row>
    <row r="64" spans="2:39" s="33" customFormat="1" ht="13">
      <c r="B64" s="12" t="s">
        <v>7</v>
      </c>
      <c r="C64" s="4" t="s">
        <v>15</v>
      </c>
      <c r="D64" s="8">
        <v>818.81785000000002</v>
      </c>
      <c r="E64" s="10">
        <v>-0.22699887908450866</v>
      </c>
      <c r="F64" s="8">
        <f t="shared" si="38"/>
        <v>1100</v>
      </c>
      <c r="G64" s="10">
        <f t="shared" si="35"/>
        <v>0.34340012250587848</v>
      </c>
      <c r="H64" s="8">
        <f>H46+Q46</f>
        <v>773.89626000000021</v>
      </c>
      <c r="I64" s="10">
        <f t="shared" si="36"/>
        <v>-5.4861517735598664E-2</v>
      </c>
      <c r="J64" s="66">
        <f t="shared" si="37"/>
        <v>0.70354205454545471</v>
      </c>
      <c r="K64" s="46"/>
      <c r="L64" s="46"/>
      <c r="M64" s="46"/>
      <c r="N64" s="46"/>
      <c r="O64" s="46"/>
      <c r="P64" s="46"/>
      <c r="Q64" s="46"/>
      <c r="R64" s="46"/>
      <c r="S64" s="70"/>
      <c r="T64" s="46"/>
      <c r="U64" s="46"/>
      <c r="V64" s="46"/>
      <c r="W64" s="46"/>
      <c r="X64" s="46"/>
      <c r="Y64" s="46"/>
      <c r="Z64" s="46"/>
      <c r="AA64" s="46"/>
      <c r="AB64" s="70"/>
      <c r="AC64" s="46"/>
      <c r="AD64" s="46"/>
      <c r="AE64" s="46"/>
      <c r="AF64" s="46"/>
      <c r="AG64" s="46"/>
      <c r="AH64" s="46"/>
    </row>
    <row r="65" spans="2:34" s="33" customFormat="1" ht="13">
      <c r="B65" s="12" t="s">
        <v>8</v>
      </c>
      <c r="C65" s="4" t="s">
        <v>3</v>
      </c>
      <c r="D65" s="8">
        <v>1620.5810999999999</v>
      </c>
      <c r="E65" s="9">
        <v>0.1055930700141452</v>
      </c>
      <c r="F65" s="8">
        <f t="shared" si="38"/>
        <v>1662</v>
      </c>
      <c r="G65" s="9">
        <f t="shared" si="35"/>
        <v>2.5558054453430401E-2</v>
      </c>
      <c r="H65" s="8">
        <f>H47+Q47</f>
        <v>1402.6053700000002</v>
      </c>
      <c r="I65" s="9">
        <f t="shared" si="36"/>
        <v>-0.1345046724289205</v>
      </c>
      <c r="J65" s="66">
        <f t="shared" si="37"/>
        <v>0.84392621540312884</v>
      </c>
      <c r="K65" s="46"/>
      <c r="L65" s="46"/>
      <c r="M65" s="46"/>
      <c r="N65" s="46"/>
      <c r="O65" s="46"/>
      <c r="P65" s="46"/>
      <c r="Q65" s="46"/>
      <c r="R65" s="46"/>
      <c r="S65" s="70"/>
      <c r="T65" s="46"/>
      <c r="U65" s="46"/>
      <c r="V65" s="46"/>
      <c r="W65" s="46"/>
      <c r="X65" s="46"/>
      <c r="Y65" s="46"/>
      <c r="Z65" s="46"/>
      <c r="AA65" s="46"/>
      <c r="AB65" s="70"/>
      <c r="AC65" s="46"/>
      <c r="AD65" s="46"/>
      <c r="AE65" s="46"/>
      <c r="AF65" s="46"/>
      <c r="AG65" s="46"/>
      <c r="AH65" s="46"/>
    </row>
    <row r="66" spans="2:34" s="33" customFormat="1" ht="12.5">
      <c r="B66" s="26" t="s">
        <v>16</v>
      </c>
      <c r="C66" s="30"/>
      <c r="D66" s="27">
        <v>3993.8130099999998</v>
      </c>
      <c r="E66" s="29">
        <v>-8.8421263091700286E-2</v>
      </c>
      <c r="F66" s="27">
        <f>F67+F68</f>
        <v>5750</v>
      </c>
      <c r="G66" s="31">
        <f t="shared" si="35"/>
        <v>0.43972689397393694</v>
      </c>
      <c r="H66" s="27">
        <f>H67+H68</f>
        <v>2231.1743900000001</v>
      </c>
      <c r="I66" s="31">
        <f t="shared" si="36"/>
        <v>-0.44134230009932285</v>
      </c>
      <c r="J66" s="66">
        <f t="shared" si="37"/>
        <v>0.38803032869565218</v>
      </c>
      <c r="K66" s="46"/>
      <c r="L66" s="46"/>
      <c r="M66" s="46"/>
      <c r="N66" s="46"/>
      <c r="O66" s="46"/>
      <c r="P66" s="46"/>
      <c r="Q66" s="46"/>
      <c r="R66" s="46"/>
      <c r="S66" s="70"/>
      <c r="T66" s="46"/>
      <c r="U66" s="46"/>
      <c r="V66" s="46"/>
      <c r="W66" s="46"/>
      <c r="X66" s="46"/>
      <c r="Y66" s="46"/>
      <c r="Z66" s="46"/>
      <c r="AA66" s="46"/>
      <c r="AB66" s="70"/>
      <c r="AC66" s="46"/>
      <c r="AD66" s="46"/>
      <c r="AE66" s="46"/>
      <c r="AF66" s="46"/>
      <c r="AG66" s="46"/>
      <c r="AH66" s="46"/>
    </row>
    <row r="67" spans="2:34" s="33" customFormat="1" ht="13">
      <c r="B67" s="12" t="s">
        <v>9</v>
      </c>
      <c r="C67" s="4" t="s">
        <v>0</v>
      </c>
      <c r="D67" s="15">
        <v>2684.08752</v>
      </c>
      <c r="E67" s="9">
        <v>-0.18422809227269155</v>
      </c>
      <c r="F67" s="15">
        <f>F49+O49</f>
        <v>4200</v>
      </c>
      <c r="G67" s="10">
        <f t="shared" si="35"/>
        <v>0.5647775896666738</v>
      </c>
      <c r="H67" s="15">
        <f>H49+Q49</f>
        <v>1236.39805</v>
      </c>
      <c r="I67" s="10">
        <f t="shared" si="36"/>
        <v>-0.53936000939343431</v>
      </c>
      <c r="J67" s="66">
        <f t="shared" si="37"/>
        <v>0.29438048809523809</v>
      </c>
      <c r="K67" s="46"/>
      <c r="L67" s="46"/>
      <c r="M67" s="46"/>
      <c r="N67" s="46"/>
      <c r="O67" s="46"/>
      <c r="P67" s="46"/>
      <c r="Q67" s="46"/>
      <c r="R67" s="46"/>
      <c r="S67" s="70"/>
      <c r="T67" s="46"/>
      <c r="U67" s="46"/>
      <c r="V67" s="46"/>
      <c r="W67" s="46"/>
      <c r="X67" s="46"/>
      <c r="Y67" s="46"/>
      <c r="Z67" s="46"/>
      <c r="AA67" s="46"/>
      <c r="AB67" s="70"/>
      <c r="AC67" s="46"/>
      <c r="AD67" s="46"/>
      <c r="AE67" s="46"/>
      <c r="AF67" s="46"/>
      <c r="AG67" s="46"/>
      <c r="AH67" s="46"/>
    </row>
    <row r="68" spans="2:34" s="33" customFormat="1" ht="13">
      <c r="B68" s="13" t="s">
        <v>10</v>
      </c>
      <c r="C68" s="14" t="s">
        <v>4</v>
      </c>
      <c r="D68" s="16">
        <v>1309.7254899999998</v>
      </c>
      <c r="E68" s="19">
        <v>0.23343390836517863</v>
      </c>
      <c r="F68" s="16">
        <f>F50+O50</f>
        <v>1550</v>
      </c>
      <c r="G68" s="19">
        <f t="shared" si="35"/>
        <v>0.18345409922502176</v>
      </c>
      <c r="H68" s="16">
        <f>H50+Q50</f>
        <v>994.77634000000012</v>
      </c>
      <c r="I68" s="19">
        <f t="shared" si="36"/>
        <v>-0.24046958878382962</v>
      </c>
      <c r="J68" s="66">
        <f t="shared" si="37"/>
        <v>0.6417911870967743</v>
      </c>
      <c r="K68" s="46"/>
      <c r="L68" s="46"/>
      <c r="M68" s="46"/>
      <c r="N68" s="46"/>
      <c r="O68" s="46"/>
      <c r="P68" s="46"/>
      <c r="Q68" s="46"/>
      <c r="R68" s="46"/>
      <c r="S68" s="70"/>
      <c r="T68" s="46"/>
      <c r="U68" s="46"/>
      <c r="V68" s="46"/>
      <c r="W68" s="46"/>
      <c r="X68" s="46"/>
      <c r="Y68" s="46"/>
      <c r="Z68" s="46"/>
      <c r="AA68" s="46"/>
      <c r="AB68" s="70"/>
      <c r="AC68" s="46"/>
      <c r="AD68" s="46"/>
      <c r="AE68" s="46"/>
      <c r="AF68" s="46"/>
      <c r="AG68" s="46"/>
      <c r="AH68" s="46"/>
    </row>
    <row r="69" spans="2:34">
      <c r="B69" s="83" t="s">
        <v>30</v>
      </c>
      <c r="D69" s="42">
        <v>11663.214639999998</v>
      </c>
      <c r="E69" s="45">
        <v>-9.5670687023851397E-2</v>
      </c>
      <c r="F69" s="42">
        <f>F59-F62</f>
        <v>13539.505446880001</v>
      </c>
      <c r="G69" s="45">
        <f t="shared" si="35"/>
        <v>0.16087252655413731</v>
      </c>
      <c r="H69" s="44">
        <f>H59</f>
        <v>11248.471020000001</v>
      </c>
      <c r="I69" s="45">
        <f t="shared" si="36"/>
        <v>-3.5559974912713899E-2</v>
      </c>
      <c r="J69" s="66">
        <f>H69/F69</f>
        <v>0.83078891353391804</v>
      </c>
    </row>
    <row r="70" spans="2:34">
      <c r="B70" s="84" t="s">
        <v>31</v>
      </c>
      <c r="D70" s="42">
        <v>15657.02765</v>
      </c>
      <c r="E70" s="45">
        <v>-9.9506377897723208E-2</v>
      </c>
      <c r="F70" s="42">
        <f>F58-F62</f>
        <v>19289.505446880001</v>
      </c>
      <c r="G70" s="45">
        <f t="shared" si="35"/>
        <v>0.2320030262500048</v>
      </c>
      <c r="H70" s="44">
        <f>H58</f>
        <v>13479.645410000001</v>
      </c>
      <c r="I70" s="45">
        <f t="shared" si="36"/>
        <v>-0.13906740721633704</v>
      </c>
      <c r="J70" s="66">
        <f t="shared" si="37"/>
        <v>0.69880720618372716</v>
      </c>
    </row>
    <row r="73" spans="2:34" ht="17.5">
      <c r="B73" s="86" t="s">
        <v>43</v>
      </c>
      <c r="D73" s="71" t="s">
        <v>52</v>
      </c>
      <c r="F73" s="71" t="s">
        <v>52</v>
      </c>
      <c r="H73" s="71" t="s">
        <v>52</v>
      </c>
    </row>
    <row r="74" spans="2:34" ht="14" customHeight="1">
      <c r="B74" s="441" t="s">
        <v>17</v>
      </c>
      <c r="C74" s="442"/>
      <c r="D74" s="445" t="s">
        <v>29</v>
      </c>
      <c r="E74" s="446"/>
      <c r="F74" s="445" t="s">
        <v>25</v>
      </c>
      <c r="G74" s="446"/>
      <c r="H74" s="453" t="s">
        <v>71</v>
      </c>
      <c r="I74" s="454"/>
      <c r="K74" s="441" t="s">
        <v>17</v>
      </c>
      <c r="L74" s="442"/>
      <c r="M74" s="445" t="s">
        <v>32</v>
      </c>
      <c r="N74" s="446"/>
      <c r="O74" s="445" t="s">
        <v>34</v>
      </c>
      <c r="P74" s="446"/>
      <c r="Q74" s="451" t="s">
        <v>74</v>
      </c>
      <c r="R74" s="452"/>
      <c r="T74" s="441" t="s">
        <v>17</v>
      </c>
      <c r="U74" s="442"/>
      <c r="V74" s="445" t="s">
        <v>38</v>
      </c>
      <c r="W74" s="446"/>
      <c r="X74" s="445" t="s">
        <v>40</v>
      </c>
      <c r="Y74" s="446"/>
      <c r="Z74" s="451" t="s">
        <v>75</v>
      </c>
      <c r="AA74" s="452"/>
      <c r="AC74" s="445" t="s">
        <v>47</v>
      </c>
      <c r="AD74" s="446"/>
      <c r="AE74" s="445" t="s">
        <v>49</v>
      </c>
      <c r="AF74" s="446"/>
      <c r="AG74" s="449" t="s">
        <v>77</v>
      </c>
      <c r="AH74" s="450"/>
    </row>
    <row r="75" spans="2:34">
      <c r="B75" s="443"/>
      <c r="C75" s="444"/>
      <c r="D75" s="87" t="s">
        <v>51</v>
      </c>
      <c r="E75" s="75" t="s">
        <v>26</v>
      </c>
      <c r="F75" s="87" t="s">
        <v>55</v>
      </c>
      <c r="G75" s="75" t="s">
        <v>26</v>
      </c>
      <c r="H75" s="87" t="s">
        <v>82</v>
      </c>
      <c r="I75" s="75" t="s">
        <v>26</v>
      </c>
      <c r="K75" s="443"/>
      <c r="L75" s="444"/>
      <c r="M75" s="87" t="s">
        <v>51</v>
      </c>
      <c r="N75" s="75" t="s">
        <v>26</v>
      </c>
      <c r="O75" s="87" t="s">
        <v>54</v>
      </c>
      <c r="P75" s="75" t="s">
        <v>56</v>
      </c>
      <c r="Q75" s="87" t="s">
        <v>82</v>
      </c>
      <c r="R75" s="75" t="s">
        <v>56</v>
      </c>
      <c r="T75" s="443"/>
      <c r="U75" s="444"/>
      <c r="V75" s="87" t="s">
        <v>51</v>
      </c>
      <c r="W75" s="75" t="s">
        <v>26</v>
      </c>
      <c r="X75" s="87" t="s">
        <v>54</v>
      </c>
      <c r="Y75" s="75" t="s">
        <v>56</v>
      </c>
      <c r="Z75" s="87" t="s">
        <v>82</v>
      </c>
      <c r="AA75" s="75" t="s">
        <v>56</v>
      </c>
      <c r="AC75" s="87" t="s">
        <v>51</v>
      </c>
      <c r="AD75" s="75" t="s">
        <v>26</v>
      </c>
      <c r="AE75" s="87" t="s">
        <v>54</v>
      </c>
      <c r="AF75" s="75" t="s">
        <v>56</v>
      </c>
      <c r="AG75" s="87" t="s">
        <v>82</v>
      </c>
      <c r="AH75" s="75" t="s">
        <v>56</v>
      </c>
    </row>
    <row r="76" spans="2:34">
      <c r="B76" s="20" t="s">
        <v>13</v>
      </c>
      <c r="C76" s="21"/>
      <c r="D76" s="50">
        <f t="shared" ref="D76:D88" si="40">D40/D4</f>
        <v>0.93028462352024732</v>
      </c>
      <c r="E76" s="23"/>
      <c r="F76" s="50">
        <f>F40/F4</f>
        <v>0.97839732722498463</v>
      </c>
      <c r="G76" s="23"/>
      <c r="H76" s="50">
        <f>H40/H4</f>
        <v>0.84666949471912367</v>
      </c>
      <c r="I76" s="51"/>
      <c r="K76" s="20" t="s">
        <v>13</v>
      </c>
      <c r="L76" s="21"/>
      <c r="M76" s="50">
        <f>M40/M4</f>
        <v>0.90197064833488005</v>
      </c>
      <c r="N76" s="23"/>
      <c r="O76" s="50">
        <f>O40/O4</f>
        <v>1.0232693195632472</v>
      </c>
      <c r="P76" s="23"/>
      <c r="Q76" s="50">
        <f>Q40/Q4</f>
        <v>0.92463307856738486</v>
      </c>
      <c r="R76" s="51"/>
      <c r="T76" s="20" t="s">
        <v>13</v>
      </c>
      <c r="U76" s="21"/>
      <c r="V76" s="50">
        <f t="shared" ref="V76:V88" si="41">V40/V4</f>
        <v>1.0473964272970522</v>
      </c>
      <c r="W76" s="23"/>
      <c r="X76" s="50">
        <f>X40/X4</f>
        <v>1.0752961082910322</v>
      </c>
      <c r="Y76" s="23"/>
      <c r="Z76" s="50">
        <f>Z40/Z4</f>
        <v>1.0942254085022731</v>
      </c>
      <c r="AA76" s="51"/>
      <c r="AC76" s="50">
        <f t="shared" ref="AC76:AC88" si="42">AC40/AC4</f>
        <v>0.96597097173397606</v>
      </c>
      <c r="AD76" s="23"/>
      <c r="AE76" s="50">
        <f t="shared" ref="AE76:AE88" si="43">AE40/AE4</f>
        <v>1.0247674234691602</v>
      </c>
      <c r="AF76" s="23"/>
      <c r="AG76" s="50">
        <f t="shared" ref="AG76:AG81" si="44">AG40/AG4</f>
        <v>0.95531537750907791</v>
      </c>
      <c r="AH76" s="51"/>
    </row>
    <row r="77" spans="2:34">
      <c r="B77" s="25" t="s">
        <v>14</v>
      </c>
      <c r="C77" s="26"/>
      <c r="D77" s="52">
        <f t="shared" si="40"/>
        <v>0.88799220589950489</v>
      </c>
      <c r="E77" s="28"/>
      <c r="F77" s="52">
        <f>F41/F5</f>
        <v>0.85829251691519726</v>
      </c>
      <c r="G77" s="61"/>
      <c r="H77" s="52">
        <f>H41/H5</f>
        <v>0.87694455341366884</v>
      </c>
      <c r="I77" s="29"/>
      <c r="K77" s="25" t="s">
        <v>14</v>
      </c>
      <c r="L77" s="26"/>
      <c r="M77" s="52">
        <f>M41/M5</f>
        <v>0.88876976480191916</v>
      </c>
      <c r="N77" s="28"/>
      <c r="O77" s="52">
        <f>O41/O5</f>
        <v>1.0130310455389291</v>
      </c>
      <c r="P77" s="61"/>
      <c r="Q77" s="52">
        <f>Q41/Q5</f>
        <v>0.94127960911858954</v>
      </c>
      <c r="R77" s="29"/>
      <c r="T77" s="25" t="s">
        <v>14</v>
      </c>
      <c r="U77" s="26"/>
      <c r="V77" s="52">
        <f t="shared" si="41"/>
        <v>1.0520441620633056</v>
      </c>
      <c r="W77" s="28"/>
      <c r="X77" s="52">
        <f>X41/X5</f>
        <v>0.99635922330097082</v>
      </c>
      <c r="Y77" s="61"/>
      <c r="Z77" s="52">
        <f>Z41/Z5</f>
        <v>1.0921284715689383</v>
      </c>
      <c r="AA77" s="29"/>
      <c r="AC77" s="52">
        <f t="shared" si="42"/>
        <v>0.94604672589947503</v>
      </c>
      <c r="AD77" s="28"/>
      <c r="AE77" s="52">
        <f t="shared" si="43"/>
        <v>0.94176088037852945</v>
      </c>
      <c r="AF77" s="61"/>
      <c r="AG77" s="52">
        <f t="shared" si="44"/>
        <v>0.97003357621681974</v>
      </c>
      <c r="AH77" s="29"/>
    </row>
    <row r="78" spans="2:34">
      <c r="B78" s="3" t="s">
        <v>5</v>
      </c>
      <c r="C78" s="11" t="s">
        <v>1</v>
      </c>
      <c r="D78" s="53">
        <f t="shared" si="40"/>
        <v>0.89800592953791203</v>
      </c>
      <c r="E78" s="9"/>
      <c r="F78" s="53">
        <f>F42/F6</f>
        <v>0.88</v>
      </c>
      <c r="G78" s="62"/>
      <c r="H78" s="53">
        <f>H42/H6</f>
        <v>0.80635744423892164</v>
      </c>
      <c r="I78" s="9"/>
      <c r="K78" s="3" t="s">
        <v>5</v>
      </c>
      <c r="L78" s="11" t="s">
        <v>1</v>
      </c>
      <c r="M78" s="53">
        <f>M42/M6</f>
        <v>0.68922005540053821</v>
      </c>
      <c r="N78" s="9"/>
      <c r="O78" s="53">
        <f>O42/O6</f>
        <v>0.88749771666961552</v>
      </c>
      <c r="P78" s="62"/>
      <c r="Q78" s="53">
        <f>Q42/Q6</f>
        <v>0.8040739092710889</v>
      </c>
      <c r="R78" s="9"/>
      <c r="T78" s="3" t="s">
        <v>5</v>
      </c>
      <c r="U78" s="11" t="s">
        <v>1</v>
      </c>
      <c r="V78" s="53">
        <f t="shared" si="41"/>
        <v>1.0616889449718137</v>
      </c>
      <c r="W78" s="9"/>
      <c r="X78" s="53">
        <f>X42/X6</f>
        <v>0.97142857142857142</v>
      </c>
      <c r="Y78" s="62"/>
      <c r="Z78" s="53">
        <f>Z42/Z6</f>
        <v>0.83213862220584511</v>
      </c>
      <c r="AA78" s="9"/>
      <c r="AC78" s="53">
        <f t="shared" si="42"/>
        <v>0.90644760151022685</v>
      </c>
      <c r="AD78" s="9"/>
      <c r="AE78" s="53">
        <f t="shared" si="43"/>
        <v>0.91324608751321679</v>
      </c>
      <c r="AF78" s="62"/>
      <c r="AG78" s="53">
        <f t="shared" si="44"/>
        <v>0.81577553182973672</v>
      </c>
      <c r="AH78" s="9"/>
    </row>
    <row r="79" spans="2:34">
      <c r="B79" s="38" t="s">
        <v>18</v>
      </c>
      <c r="C79" s="4" t="s">
        <v>2</v>
      </c>
      <c r="D79" s="53">
        <f t="shared" si="40"/>
        <v>0.8653785500876281</v>
      </c>
      <c r="E79" s="10"/>
      <c r="F79" s="53">
        <f>F43/F7</f>
        <v>0.79487179487179482</v>
      </c>
      <c r="G79" s="36"/>
      <c r="H79" s="53">
        <f>H43/H7</f>
        <v>0.8470273918544734</v>
      </c>
      <c r="I79" s="10"/>
      <c r="K79" s="38" t="s">
        <v>18</v>
      </c>
      <c r="L79" s="4" t="s">
        <v>2</v>
      </c>
      <c r="M79" s="53">
        <f>M43/M7</f>
        <v>1.1043258441490991</v>
      </c>
      <c r="N79" s="10"/>
      <c r="O79" s="53">
        <f>O43/O7</f>
        <v>1.1742885750539602</v>
      </c>
      <c r="P79" s="36"/>
      <c r="Q79" s="53">
        <f>Q43/Q7</f>
        <v>1.0092940017831757</v>
      </c>
      <c r="R79" s="10"/>
      <c r="T79" s="38" t="s">
        <v>18</v>
      </c>
      <c r="U79" s="4" t="s">
        <v>2</v>
      </c>
      <c r="V79" s="53">
        <f t="shared" si="41"/>
        <v>0.89065053249358406</v>
      </c>
      <c r="W79" s="10"/>
      <c r="X79" s="53">
        <f>X43/X7</f>
        <v>1.0625</v>
      </c>
      <c r="Y79" s="36"/>
      <c r="Z79" s="53">
        <f>Z43/Z7</f>
        <v>1.1702651779493289</v>
      </c>
      <c r="AA79" s="10"/>
      <c r="AC79" s="53">
        <f t="shared" si="42"/>
        <v>0.92246408007989089</v>
      </c>
      <c r="AD79" s="10"/>
      <c r="AE79" s="53">
        <f t="shared" si="43"/>
        <v>0.97333812081198923</v>
      </c>
      <c r="AF79" s="36"/>
      <c r="AG79" s="53">
        <f t="shared" si="44"/>
        <v>0.98931469917408721</v>
      </c>
      <c r="AH79" s="10"/>
    </row>
    <row r="80" spans="2:34">
      <c r="B80" s="39" t="s">
        <v>11</v>
      </c>
      <c r="C80" s="39"/>
      <c r="D80" s="54">
        <f t="shared" si="40"/>
        <v>1.0091298768016959</v>
      </c>
      <c r="E80" s="41"/>
      <c r="F80" s="54">
        <f t="shared" ref="F80" si="45">F44/F8</f>
        <v>1</v>
      </c>
      <c r="G80" s="49"/>
      <c r="H80" s="54"/>
      <c r="I80" s="41"/>
      <c r="K80" s="39" t="s">
        <v>11</v>
      </c>
      <c r="L80" s="39"/>
      <c r="M80" s="54">
        <f t="shared" ref="M80" si="46">M44/M8</f>
        <v>1.0259843474438741</v>
      </c>
      <c r="N80" s="41"/>
      <c r="O80" s="54">
        <f t="shared" ref="O80:Q80" si="47">O44/O8</f>
        <v>1</v>
      </c>
      <c r="P80" s="49"/>
      <c r="Q80" s="54">
        <f t="shared" si="47"/>
        <v>1.0042538038838236</v>
      </c>
      <c r="R80" s="41"/>
      <c r="T80" s="39" t="s">
        <v>11</v>
      </c>
      <c r="U80" s="39"/>
      <c r="V80" s="54">
        <f t="shared" si="41"/>
        <v>1.0488190356750982</v>
      </c>
      <c r="W80" s="41"/>
      <c r="X80" s="54">
        <f t="shared" ref="X80" si="48">X44/X8</f>
        <v>1</v>
      </c>
      <c r="Y80" s="49"/>
      <c r="Z80" s="54">
        <f t="shared" ref="Z80" si="49">Z44/Z8</f>
        <v>1.0011488736156269</v>
      </c>
      <c r="AA80" s="41"/>
      <c r="AC80" s="54">
        <f t="shared" si="42"/>
        <v>1.0295087303886772</v>
      </c>
      <c r="AD80" s="41"/>
      <c r="AE80" s="54">
        <f t="shared" si="43"/>
        <v>1</v>
      </c>
      <c r="AF80" s="49"/>
      <c r="AG80" s="53">
        <f t="shared" si="44"/>
        <v>1.0283985262110316</v>
      </c>
      <c r="AH80" s="41"/>
    </row>
    <row r="81" spans="2:34" ht="14.5">
      <c r="B81" s="39" t="s">
        <v>19</v>
      </c>
      <c r="C81" s="39"/>
      <c r="D81" s="54">
        <f t="shared" si="40"/>
        <v>0.83379726928696407</v>
      </c>
      <c r="E81" s="41"/>
      <c r="F81" s="54">
        <f t="shared" ref="F81:H81" si="50">F45/F9</f>
        <v>0.77777777777777779</v>
      </c>
      <c r="G81" s="49"/>
      <c r="H81" s="54">
        <f t="shared" si="50"/>
        <v>0.81060476423143546</v>
      </c>
      <c r="I81" s="41"/>
      <c r="K81" s="39" t="s">
        <v>19</v>
      </c>
      <c r="L81" s="39"/>
      <c r="M81" s="54">
        <f t="shared" ref="M81" si="51">M45/M9</f>
        <v>1.1308406633047117</v>
      </c>
      <c r="N81" s="41"/>
      <c r="O81" s="54">
        <f t="shared" ref="O81:Q81" si="52">O45/O9</f>
        <v>1.2042730074019654</v>
      </c>
      <c r="P81" s="49"/>
      <c r="Q81" s="54">
        <f t="shared" si="52"/>
        <v>1.010776023339101</v>
      </c>
      <c r="R81" s="41"/>
      <c r="T81" s="39" t="s">
        <v>19</v>
      </c>
      <c r="U81" s="39"/>
      <c r="V81" s="54">
        <f t="shared" si="41"/>
        <v>0.83512084333188463</v>
      </c>
      <c r="W81" s="41"/>
      <c r="X81" s="54">
        <f t="shared" ref="X81" si="53">X45/X9</f>
        <v>1.0689655172413792</v>
      </c>
      <c r="Y81" s="49"/>
      <c r="Z81" s="54">
        <f t="shared" ref="Z81" si="54">Z45/Z9</f>
        <v>1.2213021680446365</v>
      </c>
      <c r="AA81" s="41"/>
      <c r="AC81" s="54">
        <f t="shared" si="42"/>
        <v>0.89168853791997349</v>
      </c>
      <c r="AD81" s="41"/>
      <c r="AE81" s="54">
        <f t="shared" si="43"/>
        <v>0.97042736139159591</v>
      </c>
      <c r="AF81" s="49"/>
      <c r="AG81" s="53">
        <f t="shared" si="44"/>
        <v>0.98035667412370753</v>
      </c>
      <c r="AH81" s="41"/>
    </row>
    <row r="82" spans="2:34">
      <c r="B82" s="12" t="s">
        <v>7</v>
      </c>
      <c r="C82" s="4" t="s">
        <v>15</v>
      </c>
      <c r="D82" s="53">
        <f t="shared" si="40"/>
        <v>0.82325941039062045</v>
      </c>
      <c r="E82" s="10"/>
      <c r="F82" s="53">
        <f t="shared" ref="F82:H82" si="55">F46/F10</f>
        <v>0.97333333333333338</v>
      </c>
      <c r="G82" s="36"/>
      <c r="H82" s="53">
        <f t="shared" si="55"/>
        <v>1.0353487115810645</v>
      </c>
      <c r="I82" s="10"/>
      <c r="K82" s="12" t="s">
        <v>7</v>
      </c>
      <c r="L82" s="4" t="s">
        <v>15</v>
      </c>
      <c r="M82" s="53">
        <f t="shared" ref="M82" si="56">M46/M10</f>
        <v>0.73052783071406047</v>
      </c>
      <c r="N82" s="10"/>
      <c r="O82" s="53">
        <f t="shared" ref="O82:Q82" si="57">O46/O10</f>
        <v>1.0306406685236769</v>
      </c>
      <c r="P82" s="36"/>
      <c r="Q82" s="53">
        <f t="shared" si="57"/>
        <v>1.5531823662308768</v>
      </c>
      <c r="R82" s="10"/>
      <c r="T82" s="12" t="s">
        <v>7</v>
      </c>
      <c r="U82" s="4" t="s">
        <v>15</v>
      </c>
      <c r="V82" s="53">
        <f t="shared" si="41"/>
        <v>1.9513979274724027</v>
      </c>
      <c r="W82" s="10"/>
      <c r="X82" s="53">
        <f t="shared" ref="X82" si="58">X46/X10</f>
        <v>0.93846153846153846</v>
      </c>
      <c r="Y82" s="36"/>
      <c r="Z82" s="53">
        <f t="shared" ref="Z82" si="59">Z46/Z10</f>
        <v>3.2228365453832768</v>
      </c>
      <c r="AA82" s="10"/>
      <c r="AC82" s="53">
        <f t="shared" si="42"/>
        <v>1.2468437478148173</v>
      </c>
      <c r="AD82" s="10"/>
      <c r="AE82" s="53">
        <f t="shared" si="43"/>
        <v>0.97214326321773736</v>
      </c>
      <c r="AF82" s="36"/>
      <c r="AG82" s="53">
        <f t="shared" ref="AG82" si="60">AG46/AG10</f>
        <v>1.8732937886134913</v>
      </c>
      <c r="AH82" s="10"/>
    </row>
    <row r="83" spans="2:34">
      <c r="B83" s="12" t="s">
        <v>8</v>
      </c>
      <c r="C83" s="4" t="s">
        <v>3</v>
      </c>
      <c r="D83" s="53">
        <f t="shared" si="40"/>
        <v>0.97695067157581794</v>
      </c>
      <c r="E83" s="9"/>
      <c r="F83" s="53">
        <f t="shared" ref="F83:H83" si="61">F47/F11</f>
        <v>0.92</v>
      </c>
      <c r="G83" s="62"/>
      <c r="H83" s="53">
        <f t="shared" si="61"/>
        <v>1.4400774958456501</v>
      </c>
      <c r="I83" s="9"/>
      <c r="K83" s="12" t="s">
        <v>8</v>
      </c>
      <c r="L83" s="4" t="s">
        <v>3</v>
      </c>
      <c r="M83" s="53">
        <f t="shared" ref="M83" si="62">M47/M11</f>
        <v>1.0145322489060564</v>
      </c>
      <c r="N83" s="9"/>
      <c r="O83" s="53">
        <f t="shared" ref="O83:Q83" si="63">O47/O11</f>
        <v>0.95588235294117652</v>
      </c>
      <c r="P83" s="62"/>
      <c r="Q83" s="53">
        <f t="shared" si="63"/>
        <v>1.1695703792533145</v>
      </c>
      <c r="R83" s="9"/>
      <c r="T83" s="12" t="s">
        <v>8</v>
      </c>
      <c r="U83" s="4" t="s">
        <v>3</v>
      </c>
      <c r="V83" s="53">
        <f t="shared" si="41"/>
        <v>0.94961684210252972</v>
      </c>
      <c r="W83" s="9"/>
      <c r="X83" s="53">
        <f t="shared" ref="X83" si="64">X47/X11</f>
        <v>0.898876404494382</v>
      </c>
      <c r="Y83" s="62"/>
      <c r="Z83" s="53">
        <f t="shared" ref="Z83" si="65">Z47/Z11</f>
        <v>1.1819763345755165</v>
      </c>
      <c r="AA83" s="9"/>
      <c r="AC83" s="53">
        <f t="shared" si="42"/>
        <v>0.97505194169608345</v>
      </c>
      <c r="AD83" s="9"/>
      <c r="AE83" s="53">
        <f t="shared" si="43"/>
        <v>0.92209737827715355</v>
      </c>
      <c r="AF83" s="62"/>
      <c r="AG83" s="53">
        <f t="shared" ref="AG83" si="66">AG47/AG11</f>
        <v>1.2531431466757301</v>
      </c>
      <c r="AH83" s="9"/>
    </row>
    <row r="84" spans="2:34">
      <c r="B84" s="26" t="s">
        <v>16</v>
      </c>
      <c r="C84" s="30"/>
      <c r="D84" s="52">
        <f t="shared" si="40"/>
        <v>1.1081791457470422</v>
      </c>
      <c r="E84" s="29"/>
      <c r="F84" s="52">
        <f t="shared" ref="F84:H84" si="67">F48/F12</f>
        <v>1.4423076923076923</v>
      </c>
      <c r="G84" s="63"/>
      <c r="H84" s="52">
        <f t="shared" si="67"/>
        <v>0.69005551030864343</v>
      </c>
      <c r="I84" s="31"/>
      <c r="K84" s="26" t="s">
        <v>16</v>
      </c>
      <c r="L84" s="30"/>
      <c r="M84" s="52">
        <f t="shared" ref="M84" si="68">M48/M12</f>
        <v>0.94325983467759678</v>
      </c>
      <c r="N84" s="29"/>
      <c r="O84" s="52">
        <f t="shared" ref="O84:Q84" si="69">O48/O12</f>
        <v>1.0526315789473684</v>
      </c>
      <c r="P84" s="63"/>
      <c r="Q84" s="52">
        <f t="shared" si="69"/>
        <v>0.86956573466434872</v>
      </c>
      <c r="R84" s="31"/>
      <c r="T84" s="26" t="s">
        <v>16</v>
      </c>
      <c r="U84" s="30"/>
      <c r="V84" s="52">
        <f t="shared" si="41"/>
        <v>1.0312164564578243</v>
      </c>
      <c r="W84" s="29"/>
      <c r="X84" s="52">
        <f t="shared" ref="X84" si="70">X48/X12</f>
        <v>1.2569832402234637</v>
      </c>
      <c r="Y84" s="63"/>
      <c r="Z84" s="52">
        <f t="shared" ref="Z84" si="71">Z48/Z12</f>
        <v>1.1035968891183725</v>
      </c>
      <c r="AA84" s="31"/>
      <c r="AC84" s="52">
        <f t="shared" si="42"/>
        <v>1.0391377150502887</v>
      </c>
      <c r="AD84" s="29"/>
      <c r="AE84" s="52">
        <f t="shared" si="43"/>
        <v>1.2685643564356435</v>
      </c>
      <c r="AF84" s="63"/>
      <c r="AG84" s="52">
        <f t="shared" ref="AG84" si="72">AG48/AG12</f>
        <v>0.8908904165409014</v>
      </c>
      <c r="AH84" s="31"/>
    </row>
    <row r="85" spans="2:34">
      <c r="B85" s="12" t="s">
        <v>9</v>
      </c>
      <c r="C85" s="4" t="s">
        <v>0</v>
      </c>
      <c r="D85" s="55">
        <f t="shared" si="40"/>
        <v>1.1895106274670413</v>
      </c>
      <c r="E85" s="9"/>
      <c r="F85" s="55">
        <f t="shared" ref="F85:H85" si="73">F49/F13</f>
        <v>1.5555555555555556</v>
      </c>
      <c r="G85" s="36"/>
      <c r="H85" s="55">
        <f t="shared" si="73"/>
        <v>0.62761142611703946</v>
      </c>
      <c r="I85" s="10"/>
      <c r="K85" s="12" t="s">
        <v>9</v>
      </c>
      <c r="L85" s="4" t="s">
        <v>0</v>
      </c>
      <c r="M85" s="55">
        <f t="shared" ref="M85" si="74">M49/M13</f>
        <v>0.78463585384692391</v>
      </c>
      <c r="N85" s="9"/>
      <c r="O85" s="55">
        <f t="shared" ref="O85:Q85" si="75">O49/O13</f>
        <v>1.0769230769230769</v>
      </c>
      <c r="P85" s="36"/>
      <c r="Q85" s="55">
        <f t="shared" si="75"/>
        <v>0.71337721224747752</v>
      </c>
      <c r="R85" s="10"/>
      <c r="T85" s="12" t="s">
        <v>9</v>
      </c>
      <c r="U85" s="4" t="s">
        <v>0</v>
      </c>
      <c r="V85" s="55">
        <f t="shared" si="41"/>
        <v>1.0095312232305929</v>
      </c>
      <c r="W85" s="9"/>
      <c r="X85" s="55">
        <f t="shared" ref="X85" si="76">X49/X13</f>
        <v>1.0666666666666667</v>
      </c>
      <c r="Y85" s="36"/>
      <c r="Z85" s="55">
        <f t="shared" ref="Z85" si="77">Z49/Z13</f>
        <v>1.3822152830935024</v>
      </c>
      <c r="AA85" s="10"/>
      <c r="AC85" s="55">
        <f t="shared" si="42"/>
        <v>1.0142343386497819</v>
      </c>
      <c r="AD85" s="9"/>
      <c r="AE85" s="55">
        <f t="shared" si="43"/>
        <v>1.2131147540983607</v>
      </c>
      <c r="AF85" s="36"/>
      <c r="AG85" s="55">
        <f t="shared" ref="AG85" si="78">AG49/AG13</f>
        <v>0.93081012400024798</v>
      </c>
      <c r="AH85" s="10"/>
    </row>
    <row r="86" spans="2:34">
      <c r="B86" s="13" t="s">
        <v>10</v>
      </c>
      <c r="C86" s="14" t="s">
        <v>4</v>
      </c>
      <c r="D86" s="56">
        <f t="shared" si="40"/>
        <v>0.9573273467579011</v>
      </c>
      <c r="E86" s="17"/>
      <c r="F86" s="56">
        <f t="shared" ref="F86:H86" si="79">F50/F14</f>
        <v>1.1875</v>
      </c>
      <c r="G86" s="64"/>
      <c r="H86" s="56">
        <f t="shared" si="79"/>
        <v>0.76553612330943221</v>
      </c>
      <c r="I86" s="19"/>
      <c r="K86" s="13" t="s">
        <v>10</v>
      </c>
      <c r="L86" s="14" t="s">
        <v>4</v>
      </c>
      <c r="M86" s="56">
        <f t="shared" ref="M86" si="80">M50/M14</f>
        <v>1.424257688617196</v>
      </c>
      <c r="N86" s="17"/>
      <c r="O86" s="56">
        <f t="shared" ref="O86:Q86" si="81">O50/O14</f>
        <v>1</v>
      </c>
      <c r="P86" s="64"/>
      <c r="Q86" s="56">
        <f t="shared" si="81"/>
        <v>1.3164369885217257</v>
      </c>
      <c r="R86" s="19"/>
      <c r="T86" s="13" t="s">
        <v>10</v>
      </c>
      <c r="U86" s="14" t="s">
        <v>4</v>
      </c>
      <c r="V86" s="56">
        <f t="shared" si="41"/>
        <v>1.0953880485579504</v>
      </c>
      <c r="W86" s="17"/>
      <c r="X86" s="56">
        <f t="shared" ref="X86" si="82">X50/X14</f>
        <v>2.2413793103448274</v>
      </c>
      <c r="Y86" s="64"/>
      <c r="Z86" s="56">
        <f t="shared" ref="Z86" si="83">Z50/Z14</f>
        <v>0.59320260771276034</v>
      </c>
      <c r="AA86" s="19"/>
      <c r="AC86" s="56">
        <f t="shared" si="42"/>
        <v>1.1004464766731012</v>
      </c>
      <c r="AD86" s="17"/>
      <c r="AE86" s="56">
        <f t="shared" si="43"/>
        <v>1.4393939393939394</v>
      </c>
      <c r="AF86" s="64"/>
      <c r="AG86" s="56">
        <f t="shared" ref="AG86" si="84">AG50/AG14</f>
        <v>0.82009105341190203</v>
      </c>
      <c r="AH86" s="19"/>
    </row>
    <row r="87" spans="2:34">
      <c r="B87" s="83" t="s">
        <v>30</v>
      </c>
      <c r="C87" s="1"/>
      <c r="D87" s="57">
        <f t="shared" si="40"/>
        <v>0.87838207275236835</v>
      </c>
      <c r="E87" s="43"/>
      <c r="F87" s="57">
        <f t="shared" ref="F87:H87" si="85">F51/F15</f>
        <v>0.8539289837295968</v>
      </c>
      <c r="G87" s="45"/>
      <c r="H87" s="57">
        <f t="shared" si="85"/>
        <v>0.92312496609171646</v>
      </c>
      <c r="I87" s="45"/>
      <c r="K87" s="83" t="s">
        <v>30</v>
      </c>
      <c r="L87" s="1"/>
      <c r="M87" s="57">
        <f t="shared" ref="M87" si="86">M51/M15</f>
        <v>0.87370713465073779</v>
      </c>
      <c r="N87" s="43"/>
      <c r="O87" s="57">
        <f t="shared" ref="O87:Q87" si="87">O51/O15</f>
        <v>1.0137902838927413</v>
      </c>
      <c r="P87" s="45"/>
      <c r="Q87" s="57">
        <f t="shared" si="87"/>
        <v>1.0159923226856913</v>
      </c>
      <c r="R87" s="45"/>
      <c r="T87" s="83" t="s">
        <v>30</v>
      </c>
      <c r="U87" s="1"/>
      <c r="V87" s="57">
        <f t="shared" si="41"/>
        <v>1.0524308393769073</v>
      </c>
      <c r="W87" s="43"/>
      <c r="X87" s="57">
        <f t="shared" ref="X87" si="88">X51/X15</f>
        <v>0.99622166246851385</v>
      </c>
      <c r="Y87" s="45"/>
      <c r="Z87" s="57">
        <f t="shared" ref="Z87" si="89">Z51/Z15</f>
        <v>1.0991384334776568</v>
      </c>
      <c r="AA87" s="45"/>
      <c r="AC87" s="57">
        <f t="shared" si="42"/>
        <v>0.9377271661597073</v>
      </c>
      <c r="AD87" s="43"/>
      <c r="AE87" s="57">
        <f t="shared" si="43"/>
        <v>0.93946515094563121</v>
      </c>
      <c r="AF87" s="45"/>
      <c r="AG87" s="57">
        <f t="shared" ref="AG87" si="90">AG51/AG15</f>
        <v>0.96610341036052527</v>
      </c>
      <c r="AH87" s="45"/>
    </row>
    <row r="88" spans="2:34">
      <c r="B88" s="84" t="s">
        <v>31</v>
      </c>
      <c r="C88" s="1"/>
      <c r="D88" s="57">
        <f t="shared" si="40"/>
        <v>0.9253069203478389</v>
      </c>
      <c r="E88" s="43"/>
      <c r="F88" s="57">
        <f t="shared" ref="F88:H88" si="91">F52/F16</f>
        <v>0.97787225216605334</v>
      </c>
      <c r="G88" s="45"/>
      <c r="H88" s="57">
        <f t="shared" si="91"/>
        <v>0.88371684436045772</v>
      </c>
      <c r="I88" s="45"/>
      <c r="K88" s="84" t="s">
        <v>31</v>
      </c>
      <c r="L88" s="1"/>
      <c r="M88" s="57">
        <f t="shared" ref="M88" si="92">M52/M16</f>
        <v>0.8919223995674429</v>
      </c>
      <c r="N88" s="43"/>
      <c r="O88" s="57">
        <f t="shared" ref="O88:Q88" si="93">O52/O16</f>
        <v>1.0242596447012648</v>
      </c>
      <c r="P88" s="45"/>
      <c r="Q88" s="57">
        <f t="shared" si="93"/>
        <v>0.9799690294945449</v>
      </c>
      <c r="R88" s="45"/>
      <c r="T88" s="84" t="s">
        <v>31</v>
      </c>
      <c r="U88" s="1"/>
      <c r="V88" s="57">
        <f t="shared" si="41"/>
        <v>1.0472673776341479</v>
      </c>
      <c r="W88" s="43"/>
      <c r="X88" s="57">
        <f t="shared" ref="X88" si="94">X52/X16</f>
        <v>1.0772569444444444</v>
      </c>
      <c r="Y88" s="45"/>
      <c r="Z88" s="57">
        <f t="shared" ref="Z88" si="95">Z52/Z16</f>
        <v>1.100004251086957</v>
      </c>
      <c r="AA88" s="45"/>
      <c r="AC88" s="57">
        <f t="shared" si="42"/>
        <v>0.9610970176584579</v>
      </c>
      <c r="AD88" s="43"/>
      <c r="AE88" s="57">
        <f t="shared" si="43"/>
        <v>1.0254885337065953</v>
      </c>
      <c r="AF88" s="45"/>
      <c r="AG88" s="57">
        <f t="shared" ref="AG88" si="96">AG52/AG16</f>
        <v>0.95135886998511288</v>
      </c>
      <c r="AH88" s="45"/>
    </row>
    <row r="90" spans="2:34" ht="17.5">
      <c r="D90" s="71" t="s">
        <v>52</v>
      </c>
      <c r="F90" s="92" t="s">
        <v>52</v>
      </c>
      <c r="G90" s="93"/>
      <c r="H90" s="71" t="s">
        <v>52</v>
      </c>
    </row>
    <row r="91" spans="2:34">
      <c r="B91" s="441" t="s">
        <v>17</v>
      </c>
      <c r="C91" s="442"/>
      <c r="D91" s="445" t="s">
        <v>35</v>
      </c>
      <c r="E91" s="446"/>
      <c r="F91" s="447" t="s">
        <v>37</v>
      </c>
      <c r="G91" s="448"/>
      <c r="H91" s="445" t="s">
        <v>81</v>
      </c>
      <c r="I91" s="446"/>
      <c r="J91" s="66"/>
    </row>
    <row r="92" spans="2:34">
      <c r="B92" s="443"/>
      <c r="C92" s="444"/>
      <c r="D92" s="87" t="s">
        <v>51</v>
      </c>
      <c r="E92" s="75" t="s">
        <v>26</v>
      </c>
      <c r="F92" s="94" t="s">
        <v>54</v>
      </c>
      <c r="G92" s="89" t="s">
        <v>56</v>
      </c>
      <c r="H92" s="87" t="s">
        <v>82</v>
      </c>
      <c r="I92" s="7" t="s">
        <v>56</v>
      </c>
      <c r="J92" s="67"/>
    </row>
    <row r="93" spans="2:34">
      <c r="B93" s="20" t="s">
        <v>13</v>
      </c>
      <c r="C93" s="21"/>
      <c r="D93" s="50">
        <f>D58/D22</f>
        <v>0.92075609772138622</v>
      </c>
      <c r="E93" s="23"/>
      <c r="F93" s="50">
        <f>F58/F22</f>
        <v>0.99489244376936581</v>
      </c>
      <c r="G93" s="24"/>
      <c r="H93" s="50">
        <f>H58/H22</f>
        <v>0.87532263557599244</v>
      </c>
      <c r="I93" s="24"/>
      <c r="J93" s="66"/>
    </row>
    <row r="94" spans="2:34">
      <c r="B94" s="25" t="s">
        <v>14</v>
      </c>
      <c r="C94" s="26"/>
      <c r="D94" s="52">
        <f>D59/D23</f>
        <v>0.88824286367963001</v>
      </c>
      <c r="E94" s="28"/>
      <c r="F94" s="52">
        <f>F59/F23</f>
        <v>0.91271998423406409</v>
      </c>
      <c r="G94" s="29"/>
      <c r="H94" s="52">
        <f>H59/H23</f>
        <v>0.89929773672003865</v>
      </c>
      <c r="I94" s="29"/>
      <c r="J94" s="66"/>
    </row>
    <row r="95" spans="2:34">
      <c r="B95" s="3" t="s">
        <v>5</v>
      </c>
      <c r="C95" s="11" t="s">
        <v>1</v>
      </c>
      <c r="D95" s="53">
        <f>D60/D24</f>
        <v>0.8252521657487053</v>
      </c>
      <c r="E95" s="9"/>
      <c r="F95" s="53">
        <f>F60/F24</f>
        <v>0.88266430290296194</v>
      </c>
      <c r="G95" s="9"/>
      <c r="H95" s="53">
        <f>H60/H24</f>
        <v>0.80554529316069035</v>
      </c>
      <c r="I95" s="9"/>
      <c r="J95" s="66"/>
    </row>
    <row r="96" spans="2:34">
      <c r="B96" s="12" t="s">
        <v>6</v>
      </c>
      <c r="C96" s="4" t="s">
        <v>2</v>
      </c>
      <c r="D96" s="53">
        <f>D61/D25</f>
        <v>0.94021737085663659</v>
      </c>
      <c r="E96" s="10"/>
      <c r="F96" s="53">
        <f>F61/F25</f>
        <v>0.92533541839271993</v>
      </c>
      <c r="G96" s="10"/>
      <c r="H96" s="53">
        <f>H61/H25</f>
        <v>0.89833883990401797</v>
      </c>
      <c r="I96" s="10"/>
      <c r="J96" s="66"/>
    </row>
    <row r="97" spans="2:10">
      <c r="B97" s="39" t="s">
        <v>11</v>
      </c>
      <c r="C97" s="39"/>
      <c r="D97" s="54">
        <f t="shared" ref="D97:F97" si="97">D62/D26</f>
        <v>1.0157085516584967</v>
      </c>
      <c r="E97" s="41"/>
      <c r="F97" s="54">
        <f t="shared" si="97"/>
        <v>1</v>
      </c>
      <c r="G97" s="41"/>
      <c r="H97" s="54">
        <f t="shared" ref="H97" si="98">H62/H26</f>
        <v>1.0478053270887127</v>
      </c>
      <c r="I97" s="41"/>
      <c r="J97" s="66"/>
    </row>
    <row r="98" spans="2:10" ht="14.5">
      <c r="B98" s="39" t="s">
        <v>19</v>
      </c>
      <c r="C98" s="39"/>
      <c r="D98" s="54">
        <f t="shared" ref="D98:F98" si="99">D63/D27</f>
        <v>0.92100051004852579</v>
      </c>
      <c r="E98" s="41"/>
      <c r="F98" s="54">
        <f t="shared" si="99"/>
        <v>0.91695209053228965</v>
      </c>
      <c r="G98" s="41"/>
      <c r="H98" s="54">
        <f t="shared" ref="H98" si="100">H63/H27</f>
        <v>0.86909108951818348</v>
      </c>
      <c r="I98" s="41"/>
      <c r="J98" s="66"/>
    </row>
    <row r="99" spans="2:10">
      <c r="B99" s="12" t="s">
        <v>7</v>
      </c>
      <c r="C99" s="4" t="s">
        <v>15</v>
      </c>
      <c r="D99" s="53">
        <f t="shared" ref="D99:F99" si="101">D64/D28</f>
        <v>0.80021130473387569</v>
      </c>
      <c r="E99" s="10"/>
      <c r="F99" s="53">
        <f t="shared" si="101"/>
        <v>0.99188458070333629</v>
      </c>
      <c r="G99" s="10"/>
      <c r="H99" s="53">
        <f t="shared" ref="H99" si="102">H64/H28</f>
        <v>1.1396345488443487</v>
      </c>
      <c r="I99" s="10"/>
      <c r="J99" s="66"/>
    </row>
    <row r="100" spans="2:10">
      <c r="B100" s="12" t="s">
        <v>8</v>
      </c>
      <c r="C100" s="4" t="s">
        <v>3</v>
      </c>
      <c r="D100" s="53">
        <f t="shared" ref="D100:F100" si="103">D65/D29</f>
        <v>0.98843907419762422</v>
      </c>
      <c r="E100" s="9"/>
      <c r="F100" s="53">
        <f t="shared" si="103"/>
        <v>0.93370786516853932</v>
      </c>
      <c r="G100" s="9"/>
      <c r="H100" s="53">
        <f t="shared" ref="H100" si="104">H65/H29</f>
        <v>1.2993805759967321</v>
      </c>
      <c r="I100" s="9"/>
      <c r="J100" s="66"/>
    </row>
    <row r="101" spans="2:10">
      <c r="B101" s="26" t="s">
        <v>16</v>
      </c>
      <c r="C101" s="30"/>
      <c r="D101" s="52">
        <f t="shared" ref="D101:F101" si="105">D66/D30</f>
        <v>1.0438349530704178</v>
      </c>
      <c r="E101" s="29"/>
      <c r="F101" s="52">
        <f t="shared" si="105"/>
        <v>1.2777777777777777</v>
      </c>
      <c r="G101" s="31"/>
      <c r="H101" s="52">
        <f t="shared" ref="H101" si="106">H66/H30</f>
        <v>0.77161355726056502</v>
      </c>
      <c r="I101" s="31"/>
      <c r="J101" s="66"/>
    </row>
    <row r="102" spans="2:10">
      <c r="B102" s="12" t="s">
        <v>9</v>
      </c>
      <c r="C102" s="4" t="s">
        <v>0</v>
      </c>
      <c r="D102" s="55">
        <f t="shared" ref="D102:F102" si="107">D67/D31</f>
        <v>1.0172570168595567</v>
      </c>
      <c r="E102" s="9"/>
      <c r="F102" s="55">
        <f t="shared" si="107"/>
        <v>1.3548387096774193</v>
      </c>
      <c r="G102" s="10"/>
      <c r="H102" s="55">
        <f t="shared" ref="H102" si="108">H67/H31</f>
        <v>0.67306254009652278</v>
      </c>
      <c r="I102" s="10"/>
      <c r="J102" s="66"/>
    </row>
    <row r="103" spans="2:10">
      <c r="B103" s="13" t="s">
        <v>10</v>
      </c>
      <c r="C103" s="14" t="s">
        <v>4</v>
      </c>
      <c r="D103" s="56">
        <f t="shared" ref="D103:F103" si="109">D68/D32</f>
        <v>1.1028874331222784</v>
      </c>
      <c r="E103" s="19"/>
      <c r="F103" s="56">
        <f t="shared" si="109"/>
        <v>1.1071428571428572</v>
      </c>
      <c r="G103" s="19"/>
      <c r="H103" s="56">
        <f t="shared" ref="H103" si="110">H68/H32</f>
        <v>0.94327699129508613</v>
      </c>
      <c r="I103" s="19"/>
      <c r="J103" s="66"/>
    </row>
    <row r="104" spans="2:10">
      <c r="B104" s="83" t="s">
        <v>30</v>
      </c>
      <c r="D104" s="57">
        <f t="shared" ref="D104:F104" si="111">D69/D33</f>
        <v>0.87690329907174935</v>
      </c>
      <c r="E104" s="45"/>
      <c r="F104" s="57">
        <f t="shared" si="111"/>
        <v>0.90920337345028679</v>
      </c>
      <c r="G104" s="45"/>
      <c r="H104" s="57">
        <f t="shared" ref="H104" si="112">H69/H33</f>
        <v>0.95486606552351394</v>
      </c>
      <c r="I104" s="45"/>
      <c r="J104" s="66"/>
    </row>
    <row r="105" spans="2:10">
      <c r="B105" s="84" t="s">
        <v>31</v>
      </c>
      <c r="D105" s="57">
        <f t="shared" ref="D105:F105" si="113">D70/D34</f>
        <v>0.91419606700922895</v>
      </c>
      <c r="E105" s="45"/>
      <c r="F105" s="57">
        <f t="shared" si="113"/>
        <v>0.9947344097975801</v>
      </c>
      <c r="G105" s="45"/>
      <c r="H105" s="57">
        <f t="shared" ref="H105" si="114">H70/H34</f>
        <v>0.91874983626244267</v>
      </c>
      <c r="I105" s="45"/>
      <c r="J105" s="66"/>
    </row>
  </sheetData>
  <mergeCells count="63">
    <mergeCell ref="F1:I1"/>
    <mergeCell ref="O1:R1"/>
    <mergeCell ref="X1:AA1"/>
    <mergeCell ref="F37:I37"/>
    <mergeCell ref="O37:R37"/>
    <mergeCell ref="X37:AA37"/>
    <mergeCell ref="H2:I2"/>
    <mergeCell ref="T38:U39"/>
    <mergeCell ref="T2:U3"/>
    <mergeCell ref="K2:L3"/>
    <mergeCell ref="AG2:AH2"/>
    <mergeCell ref="Z2:AA2"/>
    <mergeCell ref="AC2:AD2"/>
    <mergeCell ref="AE2:AF2"/>
    <mergeCell ref="AC38:AD38"/>
    <mergeCell ref="AG38:AH38"/>
    <mergeCell ref="V38:W38"/>
    <mergeCell ref="Z38:AA38"/>
    <mergeCell ref="B20:C21"/>
    <mergeCell ref="D20:E20"/>
    <mergeCell ref="F20:G20"/>
    <mergeCell ref="H20:I20"/>
    <mergeCell ref="X2:Y2"/>
    <mergeCell ref="M2:N2"/>
    <mergeCell ref="O2:P2"/>
    <mergeCell ref="Q2:R2"/>
    <mergeCell ref="V2:W2"/>
    <mergeCell ref="B2:C3"/>
    <mergeCell ref="D2:E2"/>
    <mergeCell ref="F2:G2"/>
    <mergeCell ref="B56:C57"/>
    <mergeCell ref="D56:E56"/>
    <mergeCell ref="F56:G56"/>
    <mergeCell ref="H56:I56"/>
    <mergeCell ref="Q38:R38"/>
    <mergeCell ref="B38:C39"/>
    <mergeCell ref="D38:E38"/>
    <mergeCell ref="H38:I38"/>
    <mergeCell ref="M38:N38"/>
    <mergeCell ref="K38:L39"/>
    <mergeCell ref="X74:Y74"/>
    <mergeCell ref="AC74:AD74"/>
    <mergeCell ref="AG74:AH74"/>
    <mergeCell ref="F38:G38"/>
    <mergeCell ref="O38:P38"/>
    <mergeCell ref="X38:Y38"/>
    <mergeCell ref="AE38:AF38"/>
    <mergeCell ref="AE74:AF74"/>
    <mergeCell ref="Q74:R74"/>
    <mergeCell ref="T74:U75"/>
    <mergeCell ref="V74:W74"/>
    <mergeCell ref="Z74:AA74"/>
    <mergeCell ref="F74:G74"/>
    <mergeCell ref="H74:I74"/>
    <mergeCell ref="K74:L75"/>
    <mergeCell ref="M74:N74"/>
    <mergeCell ref="B91:C92"/>
    <mergeCell ref="D91:E91"/>
    <mergeCell ref="F91:G91"/>
    <mergeCell ref="H91:I91"/>
    <mergeCell ref="O74:P74"/>
    <mergeCell ref="B74:C75"/>
    <mergeCell ref="D74:E74"/>
  </mergeCells>
  <phoneticPr fontId="2" type="noConversion"/>
  <pageMargins left="0.7" right="0.7" top="0.75" bottom="0.75" header="0.3" footer="0.3"/>
  <pageSetup paperSize="9" scale="1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1E6E-F7BA-4341-8A37-2F2125705AEA}">
  <dimension ref="B1:AP55"/>
  <sheetViews>
    <sheetView showGridLines="0" zoomScale="70" zoomScaleNormal="70" workbookViewId="0">
      <selection activeCell="A38" sqref="A38:XFD39"/>
    </sheetView>
  </sheetViews>
  <sheetFormatPr defaultRowHeight="14"/>
  <cols>
    <col min="1" max="1" width="5.25" customWidth="1"/>
    <col min="2" max="2" width="23.9140625" customWidth="1"/>
    <col min="3" max="3" width="20.5" customWidth="1"/>
    <col min="4" max="4" width="10.25" customWidth="1"/>
    <col min="5" max="5" width="9" customWidth="1"/>
    <col min="6" max="6" width="11.1640625" customWidth="1"/>
    <col min="7" max="7" width="9.33203125" customWidth="1"/>
    <col min="8" max="8" width="10.08203125" customWidth="1"/>
    <col min="9" max="9" width="11.1640625" customWidth="1"/>
    <col min="10" max="10" width="10.4140625" style="65" customWidth="1"/>
    <col min="11" max="11" width="18.9140625" customWidth="1"/>
    <col min="12" max="12" width="16.4140625" customWidth="1"/>
    <col min="15" max="16" width="9.5" customWidth="1"/>
    <col min="17" max="17" width="10.58203125" customWidth="1"/>
    <col min="18" max="20" width="10.25" customWidth="1"/>
    <col min="21" max="21" width="15.9140625" customWidth="1"/>
    <col min="22" max="22" width="24.1640625" customWidth="1"/>
    <col min="23" max="23" width="18" customWidth="1"/>
    <col min="26" max="26" width="9.58203125" customWidth="1"/>
    <col min="27" max="27" width="10.4140625" customWidth="1"/>
    <col min="28" max="28" width="10.58203125" customWidth="1"/>
    <col min="29" max="29" width="10.25" customWidth="1"/>
    <col min="30" max="30" width="11.1640625" customWidth="1"/>
    <col min="31" max="31" width="10.33203125" customWidth="1"/>
    <col min="32" max="32" width="15.4140625" customWidth="1"/>
    <col min="34" max="35" width="9.75" customWidth="1"/>
    <col min="36" max="36" width="11.08203125" customWidth="1"/>
    <col min="37" max="37" width="10.83203125" customWidth="1"/>
    <col min="38" max="39" width="11.08203125" customWidth="1"/>
    <col min="40" max="40" width="11.58203125" customWidth="1"/>
    <col min="41" max="41" width="10.4140625" customWidth="1"/>
    <col min="42" max="42" width="11.4140625" customWidth="1"/>
  </cols>
  <sheetData>
    <row r="1" spans="2:42" ht="20">
      <c r="B1" s="71" t="s">
        <v>20</v>
      </c>
      <c r="F1" s="455" t="s">
        <v>73</v>
      </c>
      <c r="G1" s="455"/>
      <c r="H1" s="455"/>
      <c r="I1" s="455"/>
      <c r="Q1" s="455" t="s">
        <v>73</v>
      </c>
      <c r="R1" s="455"/>
      <c r="S1" s="455"/>
      <c r="T1" s="455"/>
      <c r="AB1" s="161" t="s">
        <v>73</v>
      </c>
      <c r="AC1" s="161"/>
      <c r="AD1" s="161"/>
      <c r="AJ1" s="96"/>
      <c r="AL1" s="161" t="s">
        <v>73</v>
      </c>
      <c r="AM1" s="161"/>
      <c r="AN1" s="161"/>
    </row>
    <row r="2" spans="2:42" s="33" customFormat="1" ht="13" customHeight="1">
      <c r="B2" s="441" t="s">
        <v>17</v>
      </c>
      <c r="C2" s="442"/>
      <c r="D2" s="445" t="s">
        <v>57</v>
      </c>
      <c r="E2" s="446"/>
      <c r="F2" s="447" t="s">
        <v>58</v>
      </c>
      <c r="G2" s="448"/>
      <c r="H2" s="453" t="s">
        <v>78</v>
      </c>
      <c r="I2" s="454"/>
      <c r="J2" s="66"/>
      <c r="K2" s="441" t="s">
        <v>53</v>
      </c>
      <c r="L2" s="442"/>
      <c r="M2" s="445" t="s">
        <v>60</v>
      </c>
      <c r="N2" s="446"/>
      <c r="O2" s="456" t="s">
        <v>79</v>
      </c>
      <c r="P2" s="457"/>
      <c r="Q2" s="447" t="s">
        <v>64</v>
      </c>
      <c r="R2" s="448"/>
      <c r="S2" s="453" t="s">
        <v>80</v>
      </c>
      <c r="T2" s="454"/>
      <c r="U2" s="66"/>
      <c r="V2" s="441" t="s">
        <v>53</v>
      </c>
      <c r="W2" s="442"/>
      <c r="X2" s="445" t="s">
        <v>67</v>
      </c>
      <c r="Y2" s="446"/>
      <c r="Z2" s="456" t="s">
        <v>89</v>
      </c>
      <c r="AA2" s="457"/>
      <c r="AB2" s="447" t="s">
        <v>70</v>
      </c>
      <c r="AC2" s="448"/>
      <c r="AD2" s="453" t="s">
        <v>85</v>
      </c>
      <c r="AE2" s="454"/>
      <c r="AF2" s="66"/>
      <c r="AH2" s="445" t="s">
        <v>87</v>
      </c>
      <c r="AI2" s="446"/>
      <c r="AJ2" s="460" t="s">
        <v>90</v>
      </c>
      <c r="AK2" s="461"/>
      <c r="AL2" s="464" t="s">
        <v>91</v>
      </c>
      <c r="AM2" s="465"/>
      <c r="AN2" s="449" t="s">
        <v>92</v>
      </c>
      <c r="AO2" s="450"/>
    </row>
    <row r="3" spans="2:42" s="33" customFormat="1" ht="16.5" customHeight="1">
      <c r="B3" s="443"/>
      <c r="C3" s="444"/>
      <c r="D3" s="87" t="s">
        <v>59</v>
      </c>
      <c r="E3" s="75" t="s">
        <v>26</v>
      </c>
      <c r="F3" s="94" t="s">
        <v>59</v>
      </c>
      <c r="G3" s="89" t="s">
        <v>26</v>
      </c>
      <c r="H3" s="87" t="s">
        <v>59</v>
      </c>
      <c r="I3" s="7" t="s">
        <v>12</v>
      </c>
      <c r="J3" s="127" t="s">
        <v>72</v>
      </c>
      <c r="K3" s="443"/>
      <c r="L3" s="444"/>
      <c r="M3" s="85" t="s">
        <v>61</v>
      </c>
      <c r="N3" s="75" t="s">
        <v>26</v>
      </c>
      <c r="O3" s="107" t="s">
        <v>61</v>
      </c>
      <c r="P3" s="108" t="s">
        <v>26</v>
      </c>
      <c r="Q3" s="94" t="s">
        <v>61</v>
      </c>
      <c r="R3" s="89" t="s">
        <v>26</v>
      </c>
      <c r="S3" s="87" t="s">
        <v>61</v>
      </c>
      <c r="T3" s="7" t="s">
        <v>12</v>
      </c>
      <c r="U3" s="127" t="s">
        <v>72</v>
      </c>
      <c r="V3" s="443"/>
      <c r="W3" s="444"/>
      <c r="X3" s="85" t="s">
        <v>68</v>
      </c>
      <c r="Y3" s="75" t="s">
        <v>26</v>
      </c>
      <c r="Z3" s="107" t="s">
        <v>68</v>
      </c>
      <c r="AA3" s="108" t="s">
        <v>26</v>
      </c>
      <c r="AB3" s="91" t="s">
        <v>68</v>
      </c>
      <c r="AC3" s="89" t="s">
        <v>26</v>
      </c>
      <c r="AD3" s="87" t="s">
        <v>68</v>
      </c>
      <c r="AE3" s="7" t="s">
        <v>12</v>
      </c>
      <c r="AF3" s="127" t="s">
        <v>72</v>
      </c>
      <c r="AH3" s="85" t="s">
        <v>88</v>
      </c>
      <c r="AI3" s="75" t="s">
        <v>26</v>
      </c>
      <c r="AJ3" s="159" t="s">
        <v>88</v>
      </c>
      <c r="AK3" s="160" t="s">
        <v>26</v>
      </c>
      <c r="AL3" s="162" t="s">
        <v>88</v>
      </c>
      <c r="AM3" s="163" t="s">
        <v>26</v>
      </c>
      <c r="AN3" s="85" t="s">
        <v>88</v>
      </c>
      <c r="AO3" s="75" t="s">
        <v>26</v>
      </c>
      <c r="AP3" s="127" t="s">
        <v>72</v>
      </c>
    </row>
    <row r="4" spans="2:42" s="33" customFormat="1" ht="13">
      <c r="B4" s="72" t="s">
        <v>21</v>
      </c>
      <c r="C4" s="21"/>
      <c r="D4" s="22">
        <f>D5+D12</f>
        <v>9887.5847700000013</v>
      </c>
      <c r="E4" s="23">
        <f>'[1]consumption-2022-2025 retrend'!$G$246</f>
        <v>-0.12318058116297104</v>
      </c>
      <c r="F4" s="22">
        <f>F5+F12</f>
        <v>10826</v>
      </c>
      <c r="G4" s="77">
        <f t="shared" ref="G4:G16" si="0">F4/D4-1</f>
        <v>9.4908438393089822E-2</v>
      </c>
      <c r="H4" s="22">
        <f>H5+H12</f>
        <v>8249.1124800000016</v>
      </c>
      <c r="I4" s="24">
        <f>H4/D4-1</f>
        <v>-0.16571006247868558</v>
      </c>
      <c r="J4" s="66">
        <f>H4/F4</f>
        <v>0.76197233327175329</v>
      </c>
      <c r="K4" s="20" t="s">
        <v>13</v>
      </c>
      <c r="L4" s="21"/>
      <c r="M4" s="22">
        <f>M5+M12</f>
        <v>9759.0735299999997</v>
      </c>
      <c r="N4" s="23">
        <f>'[1]consumption-2022-2025 retrend'!$H$246</f>
        <v>-7.5817812613499513E-2</v>
      </c>
      <c r="O4" s="22">
        <f>O5+O12</f>
        <v>10916.660037431779</v>
      </c>
      <c r="P4" s="24">
        <f t="shared" ref="P4:P16" si="1">O4/M4-1</f>
        <v>0.11861643463114468</v>
      </c>
      <c r="Q4" s="22">
        <f>Q5+Q12</f>
        <v>8750</v>
      </c>
      <c r="R4" s="24">
        <f>Q4/M4-1</f>
        <v>-0.10339849647592514</v>
      </c>
      <c r="S4" s="22">
        <f>S5+S12</f>
        <v>8089.6955600000038</v>
      </c>
      <c r="T4" s="24">
        <f>S4/M4-1</f>
        <v>-0.17105906261165305</v>
      </c>
      <c r="U4" s="66">
        <f>S4/Q4</f>
        <v>0.9245366354285719</v>
      </c>
      <c r="V4" s="20" t="s">
        <v>13</v>
      </c>
      <c r="W4" s="21"/>
      <c r="X4" s="22">
        <f>X5+X12</f>
        <v>8155.2034800000001</v>
      </c>
      <c r="Y4" s="23">
        <f>'[1]consumption-2022-2025 retrend'!$I$246</f>
        <v>-0.14278340049367677</v>
      </c>
      <c r="Z4" s="101">
        <v>11090</v>
      </c>
      <c r="AA4" s="102">
        <f>Z4/X4-1</f>
        <v>0.35986796984248892</v>
      </c>
      <c r="AB4" s="22">
        <f>AB5+AB12</f>
        <v>8750</v>
      </c>
      <c r="AC4" s="24">
        <f>AB4/X4-1</f>
        <v>7.2934601994749881E-2</v>
      </c>
      <c r="AD4" s="22"/>
      <c r="AE4" s="24"/>
      <c r="AF4" s="66">
        <f>AD4/AB4</f>
        <v>0</v>
      </c>
      <c r="AH4" s="22">
        <f>AH5+AH12</f>
        <v>27801.861779999999</v>
      </c>
      <c r="AI4" s="23">
        <f>AH4/'[2]consumption-2022-2025 retrend'!$S$125-1</f>
        <v>-0.11317599893881525</v>
      </c>
      <c r="AJ4" s="148">
        <f>AJ5+AJ12</f>
        <v>32832.660037431779</v>
      </c>
      <c r="AK4" s="149">
        <f>AJ4/AH4-1</f>
        <v>0.18095184765830385</v>
      </c>
      <c r="AL4" s="22">
        <f>AL5+AL12</f>
        <v>28326</v>
      </c>
      <c r="AM4" s="24">
        <f>AL4/AH4-1</f>
        <v>1.8852630235614454E-2</v>
      </c>
      <c r="AN4" s="22"/>
      <c r="AO4" s="24"/>
      <c r="AP4" s="59">
        <f>AN4/AJ4</f>
        <v>0</v>
      </c>
    </row>
    <row r="5" spans="2:42" s="33" customFormat="1" ht="13">
      <c r="B5" s="73" t="s">
        <v>22</v>
      </c>
      <c r="C5" s="26"/>
      <c r="D5" s="27">
        <f>D6+D7+D10+D11</f>
        <v>7888.4493200000006</v>
      </c>
      <c r="E5" s="28">
        <f>'[1]consumption-2022-2025 retrend'!$G$222</f>
        <v>-0.12050376681620367</v>
      </c>
      <c r="F5" s="27">
        <f>F6+F7+F10+F11</f>
        <v>8080</v>
      </c>
      <c r="G5" s="78">
        <f t="shared" si="0"/>
        <v>2.4282425129404261E-2</v>
      </c>
      <c r="H5" s="27">
        <f>H6+H7+H10+H11</f>
        <v>6813.3541000000014</v>
      </c>
      <c r="I5" s="29">
        <f>H5/D5-1</f>
        <v>-0.13628726970131555</v>
      </c>
      <c r="J5" s="66">
        <f t="shared" ref="J5:J16" si="2">H5/F5</f>
        <v>0.8432368935643566</v>
      </c>
      <c r="K5" s="25" t="s">
        <v>14</v>
      </c>
      <c r="L5" s="26"/>
      <c r="M5" s="27">
        <f>M6+M7+M10+M11</f>
        <v>7616.8034399999997</v>
      </c>
      <c r="N5" s="28">
        <f>'[1]consumption-2022-2025 retrend'!$H$222</f>
        <v>-0.12856325601991636</v>
      </c>
      <c r="O5" s="103">
        <f>O6+O7+O10+O11</f>
        <v>7646.6600374317795</v>
      </c>
      <c r="P5" s="121">
        <f t="shared" si="1"/>
        <v>3.9198329938496812E-3</v>
      </c>
      <c r="Q5" s="27">
        <f>Q6+Q7+Q10+Q11</f>
        <v>6950</v>
      </c>
      <c r="R5" s="28">
        <f t="shared" ref="R5:R16" si="3">Q5/M5-1</f>
        <v>-8.7543737376528652E-2</v>
      </c>
      <c r="S5" s="27">
        <f>S6+S7+S10+S11</f>
        <v>6052.6481400000048</v>
      </c>
      <c r="T5" s="29">
        <f t="shared" ref="T5:T16" si="4">S5/M5-1</f>
        <v>-0.20535587038858849</v>
      </c>
      <c r="U5" s="66">
        <f t="shared" ref="U5:U16" si="5">S5/Q5</f>
        <v>0.87088462446043235</v>
      </c>
      <c r="V5" s="25" t="s">
        <v>14</v>
      </c>
      <c r="W5" s="26"/>
      <c r="X5" s="27">
        <f>X6+X7+X10+X11</f>
        <v>6229.0379400000002</v>
      </c>
      <c r="Y5" s="28">
        <f>'[1]consumption-2022-2025 retrend'!$I$222</f>
        <v>-0.17324673248466627</v>
      </c>
      <c r="Z5" s="103">
        <v>7840</v>
      </c>
      <c r="AA5" s="121">
        <f t="shared" ref="AA5:AA16" si="6">Z5/X5-1</f>
        <v>0.25862132732490628</v>
      </c>
      <c r="AB5" s="27">
        <f>AB6+AB7+AB10+AB11</f>
        <v>6800</v>
      </c>
      <c r="AC5" s="29">
        <f>AB5/X5-1</f>
        <v>9.1661355332826933E-2</v>
      </c>
      <c r="AD5" s="27"/>
      <c r="AE5" s="29"/>
      <c r="AF5" s="66">
        <f t="shared" ref="AF5:AF7" si="7">AD5/AB5</f>
        <v>0</v>
      </c>
      <c r="AH5" s="27">
        <f>AH6+AH7+AH10+AH11</f>
        <v>21734.290700000001</v>
      </c>
      <c r="AI5" s="28">
        <f>AH5/'[2]consumption-2022-2025 retrend'!$S$101-1</f>
        <v>-0.13903589040648257</v>
      </c>
      <c r="AJ5" s="150">
        <f>AJ6+AJ7+AJ10+AJ11</f>
        <v>23566.660037431779</v>
      </c>
      <c r="AK5" s="151">
        <f>AJ5/AH5-1</f>
        <v>8.4307758772720343E-2</v>
      </c>
      <c r="AL5" s="27">
        <f>AL6+AL7+AL10+AL11</f>
        <v>21830</v>
      </c>
      <c r="AM5" s="29">
        <f t="shared" ref="AM5:AM16" si="8">AL5/AH5-1</f>
        <v>4.4036081655978165E-3</v>
      </c>
      <c r="AN5" s="27"/>
      <c r="AO5" s="29"/>
      <c r="AP5" s="59">
        <f t="shared" ref="AP5:AP16" si="9">AN5/AJ5</f>
        <v>0</v>
      </c>
    </row>
    <row r="6" spans="2:42" s="33" customFormat="1" ht="13">
      <c r="B6" s="3" t="s">
        <v>5</v>
      </c>
      <c r="C6" s="11" t="s">
        <v>1</v>
      </c>
      <c r="D6" s="8">
        <f>'[1]consumption-2022-2025 retrend'!$G$224</f>
        <v>3539.2229900000002</v>
      </c>
      <c r="E6" s="9">
        <f>'[1]consumption-2022-2025 retrend'!$G$225</f>
        <v>-8.4430672166914578E-2</v>
      </c>
      <c r="F6" s="8">
        <v>3900</v>
      </c>
      <c r="G6" s="79">
        <f t="shared" si="0"/>
        <v>0.10193678415272722</v>
      </c>
      <c r="H6" s="8">
        <v>3544.7108800000024</v>
      </c>
      <c r="I6" s="9">
        <f>H6/D6-1</f>
        <v>1.5505917585605378E-3</v>
      </c>
      <c r="J6" s="66">
        <f t="shared" si="2"/>
        <v>0.90890022564102624</v>
      </c>
      <c r="K6" s="3" t="s">
        <v>5</v>
      </c>
      <c r="L6" s="11" t="s">
        <v>1</v>
      </c>
      <c r="M6" s="8">
        <f>'[1]consumption-2022-2025 retrend'!$H$224</f>
        <v>2817.5962199999999</v>
      </c>
      <c r="N6" s="9">
        <f>'[1]consumption-2022-2025 retrend'!$H$225</f>
        <v>-8.7294398947619922E-2</v>
      </c>
      <c r="O6" s="105">
        <v>3316.1713839114382</v>
      </c>
      <c r="P6" s="109">
        <f t="shared" si="1"/>
        <v>0.17695053690533347</v>
      </c>
      <c r="Q6" s="8">
        <v>3300</v>
      </c>
      <c r="R6" s="9">
        <f t="shared" si="3"/>
        <v>0.17121111129258981</v>
      </c>
      <c r="S6" s="8">
        <v>2963.938600000004</v>
      </c>
      <c r="T6" s="9">
        <f t="shared" si="4"/>
        <v>5.1938733790608316E-2</v>
      </c>
      <c r="U6" s="66">
        <f t="shared" si="5"/>
        <v>0.89816321212121331</v>
      </c>
      <c r="V6" s="3" t="s">
        <v>5</v>
      </c>
      <c r="W6" s="11" t="s">
        <v>1</v>
      </c>
      <c r="X6" s="8">
        <f>'[1]consumption-2022-2025 retrend'!$I$224</f>
        <v>2850.62174</v>
      </c>
      <c r="Y6" s="9">
        <f>'[1]consumption-2022-2025 retrend'!$I$225</f>
        <v>-4.8213256887894462E-2</v>
      </c>
      <c r="Z6" s="105">
        <v>3500</v>
      </c>
      <c r="AA6" s="164">
        <f t="shared" si="6"/>
        <v>0.22780232497630504</v>
      </c>
      <c r="AB6" s="8">
        <v>3350</v>
      </c>
      <c r="AC6" s="9">
        <f>AB6/X6-1</f>
        <v>0.17518222533446326</v>
      </c>
      <c r="AD6" s="8"/>
      <c r="AE6" s="9"/>
      <c r="AF6" s="66">
        <f t="shared" si="7"/>
        <v>0</v>
      </c>
      <c r="AH6" s="8">
        <f>D6+M6+X6</f>
        <v>9207.4409500000002</v>
      </c>
      <c r="AI6" s="9">
        <f>AH6/'[2]consumption-2022-2025 retrend'!$S$104-1</f>
        <v>-7.4415153639796894E-2</v>
      </c>
      <c r="AJ6" s="152">
        <f>F6+O6+Z6</f>
        <v>10716.171383911438</v>
      </c>
      <c r="AK6" s="153">
        <f>AJ6/AH6-1</f>
        <v>0.16385990875254408</v>
      </c>
      <c r="AL6" s="8">
        <f>F6+Q6+AB6</f>
        <v>10550</v>
      </c>
      <c r="AM6" s="9">
        <f t="shared" si="8"/>
        <v>0.14581239861223327</v>
      </c>
      <c r="AN6" s="8"/>
      <c r="AO6" s="9"/>
      <c r="AP6" s="59">
        <f t="shared" si="9"/>
        <v>0</v>
      </c>
    </row>
    <row r="7" spans="2:42" s="33" customFormat="1" ht="13">
      <c r="B7" s="38" t="s">
        <v>18</v>
      </c>
      <c r="C7" s="4" t="s">
        <v>2</v>
      </c>
      <c r="D7" s="8">
        <f>'[1]consumption-2022-2025 retrend'!$G$227</f>
        <v>2965.9415800000002</v>
      </c>
      <c r="E7" s="10">
        <f>'[1]consumption-2022-2025 retrend'!$G$228</f>
        <v>-9.0691737817327089E-2</v>
      </c>
      <c r="F7" s="8">
        <v>2700</v>
      </c>
      <c r="G7" s="80">
        <f t="shared" si="0"/>
        <v>-8.9665144382243711E-2</v>
      </c>
      <c r="H7" s="8">
        <v>2363.7401299999979</v>
      </c>
      <c r="I7" s="10">
        <f>H7/D7-1</f>
        <v>-0.20303887779205765</v>
      </c>
      <c r="J7" s="66">
        <f t="shared" si="2"/>
        <v>0.87545930740740663</v>
      </c>
      <c r="K7" s="12" t="s">
        <v>6</v>
      </c>
      <c r="L7" s="4" t="s">
        <v>2</v>
      </c>
      <c r="M7" s="8">
        <f>'[1]consumption-2022-2025 retrend'!$H$227</f>
        <v>3519.0258100000001</v>
      </c>
      <c r="N7" s="10">
        <f>'[1]consumption-2022-2025 retrend'!$H$228</f>
        <v>0.25687085612021376</v>
      </c>
      <c r="O7" s="105">
        <v>2800</v>
      </c>
      <c r="P7" s="110">
        <f t="shared" si="1"/>
        <v>-0.2043252447756273</v>
      </c>
      <c r="Q7" s="8">
        <v>2500</v>
      </c>
      <c r="R7" s="10">
        <f t="shared" si="3"/>
        <v>-0.28957611140681006</v>
      </c>
      <c r="S7" s="8">
        <v>2075.1931300000006</v>
      </c>
      <c r="T7" s="10">
        <f t="shared" si="4"/>
        <v>-0.41029329080141064</v>
      </c>
      <c r="U7" s="66">
        <f t="shared" si="5"/>
        <v>0.83007725200000027</v>
      </c>
      <c r="V7" s="12" t="s">
        <v>6</v>
      </c>
      <c r="W7" s="4" t="s">
        <v>2</v>
      </c>
      <c r="X7" s="8">
        <f>'[1]consumption-2022-2025 retrend'!$I$227</f>
        <v>2356.6241199999999</v>
      </c>
      <c r="Y7" s="10">
        <f>'[1]consumption-2022-2025 retrend'!$I$228</f>
        <v>-0.20356461175642415</v>
      </c>
      <c r="Z7" s="105">
        <v>2800</v>
      </c>
      <c r="AA7" s="165">
        <f t="shared" si="6"/>
        <v>0.18814026226634728</v>
      </c>
      <c r="AB7" s="8">
        <v>2250</v>
      </c>
      <c r="AC7" s="10">
        <f>AB7/X7-1</f>
        <v>-4.5244432107399479E-2</v>
      </c>
      <c r="AD7" s="8"/>
      <c r="AE7" s="10"/>
      <c r="AF7" s="66">
        <f t="shared" si="7"/>
        <v>0</v>
      </c>
      <c r="AH7" s="8">
        <f t="shared" ref="AH7:AH14" si="10">D7+M7+X7</f>
        <v>8841.5915100000002</v>
      </c>
      <c r="AI7" s="10">
        <f>AH7/'[2]consumption-2022-2025 retrend'!$S$107-1</f>
        <v>-1.9839124356850979E-2</v>
      </c>
      <c r="AJ7" s="152">
        <f t="shared" ref="AJ7:AJ16" si="11">F7+O7+Z7</f>
        <v>8300</v>
      </c>
      <c r="AK7" s="154">
        <f>AJ7/AH7-1</f>
        <v>-6.1254979874092896E-2</v>
      </c>
      <c r="AL7" s="8">
        <f t="shared" ref="AL7:AL16" si="12">F7+Q7+AB7</f>
        <v>7450</v>
      </c>
      <c r="AM7" s="10">
        <f t="shared" si="8"/>
        <v>-0.15739151807975804</v>
      </c>
      <c r="AN7" s="8"/>
      <c r="AO7" s="10"/>
      <c r="AP7" s="59">
        <f t="shared" si="9"/>
        <v>0</v>
      </c>
    </row>
    <row r="8" spans="2:42" s="33" customFormat="1" ht="12.5">
      <c r="B8" s="39" t="s">
        <v>27</v>
      </c>
      <c r="C8" s="4"/>
      <c r="D8" s="8">
        <f>'[1]consumption-2022-2025 retrend'!$G$250</f>
        <v>694.88075000000003</v>
      </c>
      <c r="E8" s="41">
        <f>'[1]consumption-2022-2025 retrend'!$G$251</f>
        <v>-7.2696583361401834E-2</v>
      </c>
      <c r="F8" s="8">
        <v>300</v>
      </c>
      <c r="G8" s="80"/>
      <c r="H8" s="8">
        <v>485.95884999999902</v>
      </c>
      <c r="I8" s="10"/>
      <c r="J8" s="66"/>
      <c r="K8" s="39" t="s">
        <v>27</v>
      </c>
      <c r="L8" s="4"/>
      <c r="M8" s="40">
        <f>'[1]consumption-2022-2025 retrend'!$H$250</f>
        <v>540.42359999999996</v>
      </c>
      <c r="N8" s="41">
        <f>'[1]consumption-2022-2025 retrend'!$H$251</f>
        <v>-0.39605800897827181</v>
      </c>
      <c r="O8" s="105">
        <v>454.89940000000001</v>
      </c>
      <c r="P8" s="110"/>
      <c r="Q8" s="8">
        <v>454.89940000000001</v>
      </c>
      <c r="R8" s="10"/>
      <c r="S8" s="8">
        <v>432.368909999999</v>
      </c>
      <c r="T8" s="10">
        <f t="shared" si="4"/>
        <v>-0.19994443247852423</v>
      </c>
      <c r="U8" s="66"/>
      <c r="V8" s="39" t="s">
        <v>27</v>
      </c>
      <c r="W8" s="4"/>
      <c r="X8" s="8">
        <f>'[1]consumption-2022-2025 retrend'!$I$250</f>
        <v>496.35039999999998</v>
      </c>
      <c r="Y8" s="41">
        <f>'[1]consumption-2022-2025 retrend'!$I$251</f>
        <v>-0.44342969480438366</v>
      </c>
      <c r="Z8" s="105">
        <v>300</v>
      </c>
      <c r="AA8" s="165"/>
      <c r="AB8" s="8">
        <v>480</v>
      </c>
      <c r="AC8" s="10"/>
      <c r="AD8" s="8"/>
      <c r="AE8" s="10"/>
      <c r="AF8" s="66"/>
      <c r="AH8" s="8">
        <f t="shared" si="10"/>
        <v>1731.6547499999999</v>
      </c>
      <c r="AI8" s="41">
        <f>AH8/'[2]consumption-2022-2025 retrend'!$S$130-1</f>
        <v>-0.31716685491697671</v>
      </c>
      <c r="AJ8" s="152">
        <f t="shared" si="11"/>
        <v>1054.8994</v>
      </c>
      <c r="AK8" s="154"/>
      <c r="AL8" s="8">
        <f t="shared" si="12"/>
        <v>1234.8994</v>
      </c>
      <c r="AM8" s="10"/>
      <c r="AN8" s="8"/>
      <c r="AO8" s="10"/>
      <c r="AP8" s="59"/>
    </row>
    <row r="9" spans="2:42" s="33" customFormat="1" ht="13.5">
      <c r="B9" s="76" t="s">
        <v>28</v>
      </c>
      <c r="C9" s="4"/>
      <c r="D9" s="8">
        <f>D7-D8</f>
        <v>2271.0608300000004</v>
      </c>
      <c r="E9" s="41">
        <f>'[1]consumption-2022-2025 retrend'!$G$253</f>
        <v>-9.6059030803258838E-2</v>
      </c>
      <c r="F9" s="8">
        <f>F7-F8</f>
        <v>2400</v>
      </c>
      <c r="G9" s="80">
        <f t="shared" si="0"/>
        <v>5.6774864106127643E-2</v>
      </c>
      <c r="H9" s="8">
        <f>H7-H8</f>
        <v>1877.7812799999988</v>
      </c>
      <c r="I9" s="10">
        <f t="shared" ref="I9:I16" si="13">H9/D9-1</f>
        <v>-0.17316997625290442</v>
      </c>
      <c r="J9" s="66">
        <f t="shared" si="2"/>
        <v>0.7824088666666662</v>
      </c>
      <c r="K9" s="76" t="s">
        <v>28</v>
      </c>
      <c r="L9" s="4"/>
      <c r="M9" s="8">
        <f>M7-M8</f>
        <v>2978.60221</v>
      </c>
      <c r="N9" s="41">
        <f>'[1]consumption-2022-2025 retrend'!$H$253</f>
        <v>0.56356754573714762</v>
      </c>
      <c r="O9" s="105">
        <f>O7-O8</f>
        <v>2345.1005999999998</v>
      </c>
      <c r="P9" s="110">
        <f t="shared" si="1"/>
        <v>-0.21268419390583893</v>
      </c>
      <c r="Q9" s="8">
        <f>Q7-Q8</f>
        <v>2045.1006</v>
      </c>
      <c r="R9" s="10">
        <f t="shared" si="3"/>
        <v>-0.31340257751302747</v>
      </c>
      <c r="S9" s="8">
        <f>S7-S8</f>
        <v>1642.8242200000016</v>
      </c>
      <c r="T9" s="10">
        <f t="shared" si="4"/>
        <v>-0.44845800003619762</v>
      </c>
      <c r="U9" s="66">
        <f t="shared" si="5"/>
        <v>0.8032975101567138</v>
      </c>
      <c r="V9" s="76" t="s">
        <v>28</v>
      </c>
      <c r="W9" s="4"/>
      <c r="X9" s="8">
        <f>X7-X8</f>
        <v>1860.2737199999999</v>
      </c>
      <c r="Y9" s="41">
        <f>'[1]consumption-2022-2025 retrend'!$I$253</f>
        <v>-0.10008359283555379</v>
      </c>
      <c r="Z9" s="105">
        <v>2500</v>
      </c>
      <c r="AA9" s="165">
        <f t="shared" si="6"/>
        <v>0.3438882531759897</v>
      </c>
      <c r="AB9" s="8">
        <f>AB7-AB8</f>
        <v>1770</v>
      </c>
      <c r="AC9" s="10">
        <f t="shared" ref="AC9:AC16" si="14">AB9/X9-1</f>
        <v>-4.8527116751399313E-2</v>
      </c>
      <c r="AD9" s="8"/>
      <c r="AE9" s="10"/>
      <c r="AF9" s="66">
        <f t="shared" ref="AF9:AF16" si="15">AD9/AB9</f>
        <v>0</v>
      </c>
      <c r="AH9" s="8">
        <f t="shared" si="10"/>
        <v>7109.9367600000005</v>
      </c>
      <c r="AI9" s="41">
        <f>AH9/'[2]consumption-2022-2025 retrend'!$S$132-1</f>
        <v>9.6439853574473711E-2</v>
      </c>
      <c r="AJ9" s="152">
        <f t="shared" si="11"/>
        <v>7245.1005999999998</v>
      </c>
      <c r="AK9" s="154"/>
      <c r="AL9" s="8">
        <f t="shared" si="12"/>
        <v>6215.1005999999998</v>
      </c>
      <c r="AM9" s="10">
        <f t="shared" si="8"/>
        <v>-0.12585711943800759</v>
      </c>
      <c r="AN9" s="8"/>
      <c r="AO9" s="10"/>
      <c r="AP9" s="59">
        <f t="shared" si="9"/>
        <v>0</v>
      </c>
    </row>
    <row r="10" spans="2:42" s="33" customFormat="1" ht="13">
      <c r="B10" s="12" t="s">
        <v>7</v>
      </c>
      <c r="C10" s="4" t="s">
        <v>15</v>
      </c>
      <c r="D10" s="8">
        <f>'[1]consumption-2022-2025 retrend'!$G$230</f>
        <v>661.17768000000001</v>
      </c>
      <c r="E10" s="10">
        <f>'[1]consumption-2022-2025 retrend'!$G$231</f>
        <v>-0.38810990783265575</v>
      </c>
      <c r="F10" s="8">
        <v>680</v>
      </c>
      <c r="G10" s="80">
        <f t="shared" si="0"/>
        <v>2.8467869635284693E-2</v>
      </c>
      <c r="H10" s="8">
        <v>386.90371000000016</v>
      </c>
      <c r="I10" s="10">
        <f t="shared" si="13"/>
        <v>-0.41482642003281156</v>
      </c>
      <c r="J10" s="66">
        <f t="shared" si="2"/>
        <v>0.56897604411764724</v>
      </c>
      <c r="K10" s="12" t="s">
        <v>7</v>
      </c>
      <c r="L10" s="4" t="s">
        <v>15</v>
      </c>
      <c r="M10" s="8">
        <f>'[1]consumption-2022-2025 retrend'!$H$230</f>
        <v>503.78064999999998</v>
      </c>
      <c r="N10" s="10">
        <f>'[1]consumption-2022-2025 retrend'!$H$231</f>
        <v>-0.75687479686405867</v>
      </c>
      <c r="O10" s="105">
        <v>670</v>
      </c>
      <c r="P10" s="110">
        <f t="shared" si="1"/>
        <v>0.32994389522503509</v>
      </c>
      <c r="Q10" s="8">
        <v>500</v>
      </c>
      <c r="R10" s="10">
        <f t="shared" si="3"/>
        <v>-7.5045558022126535E-3</v>
      </c>
      <c r="S10" s="8">
        <v>448.52019999999987</v>
      </c>
      <c r="T10" s="10">
        <f t="shared" si="4"/>
        <v>-0.1096914897386394</v>
      </c>
      <c r="U10" s="66">
        <f t="shared" si="5"/>
        <v>0.89704039999999974</v>
      </c>
      <c r="V10" s="12" t="s">
        <v>7</v>
      </c>
      <c r="W10" s="4" t="s">
        <v>15</v>
      </c>
      <c r="X10" s="8">
        <f>'[1]consumption-2022-2025 retrend'!$I$230</f>
        <v>537.05475999999999</v>
      </c>
      <c r="Y10" s="10">
        <f>'[1]consumption-2022-2025 retrend'!$I$231</f>
        <v>-0.39069151435772476</v>
      </c>
      <c r="Z10" s="105">
        <v>650</v>
      </c>
      <c r="AA10" s="165">
        <f t="shared" si="6"/>
        <v>0.2103048858555876</v>
      </c>
      <c r="AB10" s="8">
        <v>510</v>
      </c>
      <c r="AC10" s="10">
        <f t="shared" si="14"/>
        <v>-5.0376166482538953E-2</v>
      </c>
      <c r="AD10" s="8"/>
      <c r="AE10" s="10"/>
      <c r="AF10" s="66">
        <f t="shared" si="15"/>
        <v>0</v>
      </c>
      <c r="AH10" s="8">
        <f t="shared" si="10"/>
        <v>1702.0130899999999</v>
      </c>
      <c r="AI10" s="10">
        <f>AH10/'[2]consumption-2022-2025 retrend'!$S$110-1</f>
        <v>-0.57809037960877419</v>
      </c>
      <c r="AJ10" s="152">
        <f t="shared" si="11"/>
        <v>2000</v>
      </c>
      <c r="AK10" s="154">
        <f t="shared" ref="AK10:AK16" si="16">AJ10/AH10-1</f>
        <v>0.17507909413317146</v>
      </c>
      <c r="AL10" s="8">
        <f t="shared" si="12"/>
        <v>1690</v>
      </c>
      <c r="AM10" s="10">
        <f t="shared" si="8"/>
        <v>-7.058165457470067E-3</v>
      </c>
      <c r="AN10" s="8"/>
      <c r="AO10" s="10"/>
      <c r="AP10" s="59">
        <f t="shared" si="9"/>
        <v>0</v>
      </c>
    </row>
    <row r="11" spans="2:42" s="33" customFormat="1" ht="13">
      <c r="B11" s="12" t="s">
        <v>8</v>
      </c>
      <c r="C11" s="4" t="s">
        <v>3</v>
      </c>
      <c r="D11" s="8">
        <f>'[1]consumption-2022-2025 retrend'!$G$233</f>
        <v>722.10707000000002</v>
      </c>
      <c r="E11" s="9">
        <f>'[1]consumption-2022-2025 retrend'!$G$234</f>
        <v>-5.1578593950990848E-2</v>
      </c>
      <c r="F11" s="8">
        <v>800</v>
      </c>
      <c r="G11" s="79">
        <f t="shared" si="0"/>
        <v>0.10786894802179403</v>
      </c>
      <c r="H11" s="8">
        <v>517.99938000000054</v>
      </c>
      <c r="I11" s="9">
        <f t="shared" si="13"/>
        <v>-0.28265571475432238</v>
      </c>
      <c r="J11" s="66">
        <f t="shared" si="2"/>
        <v>0.64749922500000068</v>
      </c>
      <c r="K11" s="12" t="s">
        <v>8</v>
      </c>
      <c r="L11" s="4" t="s">
        <v>3</v>
      </c>
      <c r="M11" s="8">
        <f>'[1]consumption-2022-2025 retrend'!$H$233</f>
        <v>776.40075999999999</v>
      </c>
      <c r="N11" s="9">
        <f>'[1]consumption-2022-2025 retrend'!$H$234</f>
        <v>-6.5203627297582001E-3</v>
      </c>
      <c r="O11" s="105">
        <f>'[1]0225 SRI03'!$H$94</f>
        <v>860.48865352034124</v>
      </c>
      <c r="P11" s="109">
        <f t="shared" si="1"/>
        <v>0.108304754261628</v>
      </c>
      <c r="Q11" s="8">
        <v>650</v>
      </c>
      <c r="R11" s="9">
        <f t="shared" si="3"/>
        <v>-0.16280349854371601</v>
      </c>
      <c r="S11" s="8">
        <v>564.99621000000002</v>
      </c>
      <c r="T11" s="9">
        <f t="shared" si="4"/>
        <v>-0.27228792254144618</v>
      </c>
      <c r="U11" s="66">
        <f t="shared" si="5"/>
        <v>0.86922493846153848</v>
      </c>
      <c r="V11" s="12" t="s">
        <v>8</v>
      </c>
      <c r="W11" s="4" t="s">
        <v>3</v>
      </c>
      <c r="X11" s="8">
        <f>'[1]consumption-2022-2025 retrend'!$I$233</f>
        <v>484.73732000000001</v>
      </c>
      <c r="Y11" s="9">
        <f>'[1]consumption-2022-2025 retrend'!$I$234</f>
        <v>-0.30646228237207973</v>
      </c>
      <c r="Z11" s="105">
        <v>890</v>
      </c>
      <c r="AA11" s="164">
        <f t="shared" si="6"/>
        <v>0.83604596402851761</v>
      </c>
      <c r="AB11" s="8">
        <v>690</v>
      </c>
      <c r="AC11" s="9">
        <f t="shared" si="14"/>
        <v>0.42345136537042372</v>
      </c>
      <c r="AD11" s="8"/>
      <c r="AE11" s="9"/>
      <c r="AF11" s="66">
        <f t="shared" si="15"/>
        <v>0</v>
      </c>
      <c r="AH11" s="8">
        <f t="shared" si="10"/>
        <v>1983.24515</v>
      </c>
      <c r="AI11" s="9">
        <f>AH11/'[2]consumption-2022-2025 retrend'!$S$113-1</f>
        <v>-0.11533698728785369</v>
      </c>
      <c r="AJ11" s="152">
        <f t="shared" si="11"/>
        <v>2550.4886535203414</v>
      </c>
      <c r="AK11" s="153">
        <f t="shared" si="16"/>
        <v>0.2860178448036752</v>
      </c>
      <c r="AL11" s="8">
        <f t="shared" si="12"/>
        <v>2140</v>
      </c>
      <c r="AM11" s="9">
        <f t="shared" si="8"/>
        <v>7.9039573095640803E-2</v>
      </c>
      <c r="AN11" s="8"/>
      <c r="AO11" s="9"/>
      <c r="AP11" s="59">
        <f t="shared" si="9"/>
        <v>0</v>
      </c>
    </row>
    <row r="12" spans="2:42" s="33" customFormat="1" ht="13">
      <c r="B12" s="74" t="s">
        <v>23</v>
      </c>
      <c r="C12" s="30"/>
      <c r="D12" s="27">
        <f>D13+D14</f>
        <v>1999.1354500000002</v>
      </c>
      <c r="E12" s="29">
        <f>'[1]consumption-2022-2025 retrend'!$G$237</f>
        <v>-0.13358599010462735</v>
      </c>
      <c r="F12" s="27">
        <f>F13+F14</f>
        <v>2746</v>
      </c>
      <c r="G12" s="81">
        <f t="shared" si="0"/>
        <v>0.37359377024703333</v>
      </c>
      <c r="H12" s="27">
        <f>H13+H14</f>
        <v>1435.7583799999998</v>
      </c>
      <c r="I12" s="31">
        <f t="shared" si="13"/>
        <v>-0.28181035457102244</v>
      </c>
      <c r="J12" s="66">
        <f t="shared" si="2"/>
        <v>0.52285447195921331</v>
      </c>
      <c r="K12" s="26" t="s">
        <v>16</v>
      </c>
      <c r="L12" s="30"/>
      <c r="M12" s="27">
        <f>M13+M14</f>
        <v>2142.27009</v>
      </c>
      <c r="N12" s="29">
        <f>'[1]consumption-2022-2025 retrend'!$H$237</f>
        <v>0.17760614356297166</v>
      </c>
      <c r="O12" s="103">
        <f>O13+O14</f>
        <v>3270</v>
      </c>
      <c r="P12" s="104">
        <f t="shared" si="1"/>
        <v>0.52641817447024164</v>
      </c>
      <c r="Q12" s="27">
        <f>Q13+Q14</f>
        <v>1800</v>
      </c>
      <c r="R12" s="31">
        <f t="shared" si="3"/>
        <v>-0.15976981221821562</v>
      </c>
      <c r="S12" s="27">
        <f>S13+S14</f>
        <v>2037.0474199999994</v>
      </c>
      <c r="T12" s="31">
        <f t="shared" si="4"/>
        <v>-4.9117368762778391E-2</v>
      </c>
      <c r="U12" s="66">
        <f t="shared" si="5"/>
        <v>1.1316930111111108</v>
      </c>
      <c r="V12" s="26" t="s">
        <v>16</v>
      </c>
      <c r="W12" s="30"/>
      <c r="X12" s="27">
        <f>X13+X14</f>
        <v>1926.16554</v>
      </c>
      <c r="Y12" s="29">
        <f>'[1]consumption-2022-2025 retrend'!$I$237</f>
        <v>-2.6819671486094543E-2</v>
      </c>
      <c r="Z12" s="103">
        <v>3250</v>
      </c>
      <c r="AA12" s="166">
        <f t="shared" si="6"/>
        <v>0.68729007580521873</v>
      </c>
      <c r="AB12" s="27">
        <f>AB13+AB14</f>
        <v>1950</v>
      </c>
      <c r="AC12" s="31">
        <f t="shared" si="14"/>
        <v>1.2374045483131146E-2</v>
      </c>
      <c r="AD12" s="27"/>
      <c r="AE12" s="31"/>
      <c r="AF12" s="66">
        <f t="shared" si="15"/>
        <v>0</v>
      </c>
      <c r="AH12" s="27">
        <f>AH13+AH14</f>
        <v>6067.5710799999997</v>
      </c>
      <c r="AI12" s="29">
        <f>AH12/'[2]consumption-2022-2025 retrend'!$S$116-1</f>
        <v>-6.2593593446588214E-3</v>
      </c>
      <c r="AJ12" s="150">
        <f>AJ13+AJ14</f>
        <v>9266</v>
      </c>
      <c r="AK12" s="155">
        <f t="shared" si="16"/>
        <v>0.52713497342333571</v>
      </c>
      <c r="AL12" s="27">
        <f>AL13+AL14</f>
        <v>6496</v>
      </c>
      <c r="AM12" s="31">
        <f t="shared" si="8"/>
        <v>7.0609625227497252E-2</v>
      </c>
      <c r="AN12" s="27"/>
      <c r="AO12" s="31"/>
      <c r="AP12" s="59">
        <f t="shared" si="9"/>
        <v>0</v>
      </c>
    </row>
    <row r="13" spans="2:42" s="33" customFormat="1" ht="13">
      <c r="B13" s="12" t="s">
        <v>9</v>
      </c>
      <c r="C13" s="4" t="s">
        <v>0</v>
      </c>
      <c r="D13" s="15">
        <f>'[1]consumption-2022-2025 retrend'!$G$239</f>
        <v>1253.0205000000001</v>
      </c>
      <c r="E13" s="9">
        <f>'[1]consumption-2022-2025 retrend'!$G$240</f>
        <v>-0.19164444467152908</v>
      </c>
      <c r="F13" s="8">
        <v>2000</v>
      </c>
      <c r="G13" s="80">
        <f t="shared" si="0"/>
        <v>0.59614307986182169</v>
      </c>
      <c r="H13" s="8">
        <v>1032.4579799999997</v>
      </c>
      <c r="I13" s="10">
        <f t="shared" si="13"/>
        <v>-0.17602466998744271</v>
      </c>
      <c r="J13" s="66">
        <f t="shared" si="2"/>
        <v>0.51622898999999989</v>
      </c>
      <c r="K13" s="12" t="s">
        <v>9</v>
      </c>
      <c r="L13" s="4" t="s">
        <v>0</v>
      </c>
      <c r="M13" s="15">
        <f>'[1]consumption-2022-2025 retrend'!$H$239</f>
        <v>1460.48675</v>
      </c>
      <c r="N13" s="9">
        <f>'[1]consumption-2022-2025 retrend'!$H$240</f>
        <v>0.2346914101126385</v>
      </c>
      <c r="O13" s="105">
        <v>2500</v>
      </c>
      <c r="P13" s="110">
        <f t="shared" si="1"/>
        <v>0.71175808339240332</v>
      </c>
      <c r="Q13" s="8">
        <v>1200</v>
      </c>
      <c r="R13" s="10">
        <f t="shared" si="3"/>
        <v>-0.17835611997164647</v>
      </c>
      <c r="S13" s="8">
        <v>1425.8617599999998</v>
      </c>
      <c r="T13" s="10">
        <f t="shared" si="4"/>
        <v>-2.3707842607952667E-2</v>
      </c>
      <c r="U13" s="66">
        <f t="shared" si="5"/>
        <v>1.188218133333333</v>
      </c>
      <c r="V13" s="12" t="s">
        <v>9</v>
      </c>
      <c r="W13" s="4" t="s">
        <v>0</v>
      </c>
      <c r="X13" s="15">
        <f>'[1]consumption-2022-2025 retrend'!$I$239</f>
        <v>1318.7823599999999</v>
      </c>
      <c r="Y13" s="9">
        <f>'[1]consumption-2022-2025 retrend'!$I$240</f>
        <v>1.0836166077084375E-2</v>
      </c>
      <c r="Z13" s="167">
        <v>2500</v>
      </c>
      <c r="AA13" s="165">
        <f t="shared" si="6"/>
        <v>0.89568808002557754</v>
      </c>
      <c r="AB13" s="8">
        <v>1350</v>
      </c>
      <c r="AC13" s="10">
        <f t="shared" si="14"/>
        <v>2.367156321381203E-2</v>
      </c>
      <c r="AD13" s="8"/>
      <c r="AE13" s="10"/>
      <c r="AF13" s="66">
        <f t="shared" si="15"/>
        <v>0</v>
      </c>
      <c r="AH13" s="8">
        <f t="shared" si="10"/>
        <v>4032.2896099999998</v>
      </c>
      <c r="AI13" s="9">
        <f>AH13/'[2]consumption-2022-2025 retrend'!$S$119-1</f>
        <v>-1.3169113016009426E-3</v>
      </c>
      <c r="AJ13" s="152">
        <f t="shared" si="11"/>
        <v>7000</v>
      </c>
      <c r="AK13" s="154">
        <f t="shared" si="16"/>
        <v>0.73598641889216898</v>
      </c>
      <c r="AL13" s="8">
        <f t="shared" si="12"/>
        <v>4550</v>
      </c>
      <c r="AM13" s="10">
        <f t="shared" si="8"/>
        <v>0.12839117227990982</v>
      </c>
      <c r="AN13" s="8"/>
      <c r="AO13" s="10"/>
      <c r="AP13" s="59">
        <f t="shared" si="9"/>
        <v>0</v>
      </c>
    </row>
    <row r="14" spans="2:42" s="33" customFormat="1" ht="13">
      <c r="B14" s="13" t="s">
        <v>10</v>
      </c>
      <c r="C14" s="14" t="s">
        <v>4</v>
      </c>
      <c r="D14" s="16">
        <f>'[1]consumption-2022-2025 retrend'!$G$242</f>
        <v>746.11495000000002</v>
      </c>
      <c r="E14" s="17">
        <f>'[1]consumption-2022-2025 retrend'!$G$243</f>
        <v>-1.4745664548522996E-2</v>
      </c>
      <c r="F14" s="18">
        <v>746</v>
      </c>
      <c r="G14" s="82">
        <f t="shared" si="0"/>
        <v>-1.5406473225076933E-4</v>
      </c>
      <c r="H14" s="18">
        <v>403.30040000000002</v>
      </c>
      <c r="I14" s="19">
        <f t="shared" si="13"/>
        <v>-0.459466131860781</v>
      </c>
      <c r="J14" s="66">
        <f t="shared" si="2"/>
        <v>0.54061715817694378</v>
      </c>
      <c r="K14" s="13" t="s">
        <v>10</v>
      </c>
      <c r="L14" s="14" t="s">
        <v>4</v>
      </c>
      <c r="M14" s="16">
        <f>'[1]consumption-2022-2025 retrend'!$H$242</f>
        <v>681.78333999999995</v>
      </c>
      <c r="N14" s="17">
        <f>'[1]consumption-2022-2025 retrend'!$H$243</f>
        <v>7.1484773779016741E-2</v>
      </c>
      <c r="O14" s="106">
        <v>770</v>
      </c>
      <c r="P14" s="111">
        <f t="shared" si="1"/>
        <v>0.12939104672167567</v>
      </c>
      <c r="Q14" s="18">
        <v>600</v>
      </c>
      <c r="R14" s="19">
        <f t="shared" si="3"/>
        <v>-0.11995502852856443</v>
      </c>
      <c r="S14" s="18">
        <v>611.18565999999953</v>
      </c>
      <c r="T14" s="19">
        <f t="shared" si="4"/>
        <v>-0.10354855546924979</v>
      </c>
      <c r="U14" s="66">
        <f t="shared" si="5"/>
        <v>1.018642766666666</v>
      </c>
      <c r="V14" s="13" t="s">
        <v>10</v>
      </c>
      <c r="W14" s="14" t="s">
        <v>4</v>
      </c>
      <c r="X14" s="16">
        <f>'[1]consumption-2022-2025 retrend'!$I$242</f>
        <v>607.38318000000004</v>
      </c>
      <c r="Y14" s="17">
        <f>'[1]consumption-2022-2025 retrend'!$I$243</f>
        <v>-9.9643950759092825E-2</v>
      </c>
      <c r="Z14" s="168">
        <v>750</v>
      </c>
      <c r="AA14" s="169">
        <f t="shared" si="6"/>
        <v>0.2348053497299678</v>
      </c>
      <c r="AB14" s="18">
        <v>600</v>
      </c>
      <c r="AC14" s="19">
        <f t="shared" si="14"/>
        <v>-1.2155720216025845E-2</v>
      </c>
      <c r="AD14" s="18"/>
      <c r="AE14" s="19"/>
      <c r="AF14" s="66">
        <f t="shared" si="15"/>
        <v>0</v>
      </c>
      <c r="AH14" s="146">
        <f t="shared" si="10"/>
        <v>2035.2814700000001</v>
      </c>
      <c r="AI14" s="17">
        <f>AH14/'[2]consumption-2022-2025 retrend'!$S$122-1</f>
        <v>-1.5908246942389015E-2</v>
      </c>
      <c r="AJ14" s="156">
        <f t="shared" si="11"/>
        <v>2266</v>
      </c>
      <c r="AK14" s="157">
        <f t="shared" si="16"/>
        <v>0.11335951975232206</v>
      </c>
      <c r="AL14" s="18">
        <f t="shared" si="12"/>
        <v>1946</v>
      </c>
      <c r="AM14" s="19">
        <f t="shared" si="8"/>
        <v>-4.3866890804051817E-2</v>
      </c>
      <c r="AN14" s="16"/>
      <c r="AO14" s="19"/>
      <c r="AP14" s="59">
        <f t="shared" si="9"/>
        <v>0</v>
      </c>
    </row>
    <row r="15" spans="2:42" s="33" customFormat="1" ht="13">
      <c r="B15" s="83" t="s">
        <v>30</v>
      </c>
      <c r="C15" s="1"/>
      <c r="D15" s="42">
        <f>D5-D8</f>
        <v>7193.5685700000004</v>
      </c>
      <c r="E15" s="43">
        <f>'[1]consumption-2022-2025 retrend'!$G$255</f>
        <v>-0.12486203265454832</v>
      </c>
      <c r="F15" s="42">
        <f>F5-F8</f>
        <v>7780</v>
      </c>
      <c r="G15" s="45">
        <f t="shared" si="0"/>
        <v>8.1521629257229611E-2</v>
      </c>
      <c r="H15" s="42">
        <f>H5-H8</f>
        <v>6327.3952500000023</v>
      </c>
      <c r="I15" s="45">
        <f t="shared" si="13"/>
        <v>-0.12040940620379714</v>
      </c>
      <c r="J15" s="66">
        <f t="shared" si="2"/>
        <v>0.81328987789203111</v>
      </c>
      <c r="K15" s="83" t="s">
        <v>30</v>
      </c>
      <c r="L15" s="2"/>
      <c r="M15" s="42">
        <f>M5-M8</f>
        <v>7076.3798399999996</v>
      </c>
      <c r="N15" s="43">
        <f>'[1]consumption-2022-2025 retrend'!$H$255</f>
        <v>-9.8054572197630585E-2</v>
      </c>
      <c r="O15" s="112">
        <f>O5-O8</f>
        <v>7191.7606374317793</v>
      </c>
      <c r="P15" s="113">
        <f t="shared" si="1"/>
        <v>1.630505993750897E-2</v>
      </c>
      <c r="Q15" s="42">
        <f>Q5-Q8</f>
        <v>6495.1005999999998</v>
      </c>
      <c r="R15" s="45">
        <f t="shared" si="3"/>
        <v>-8.2143589397824068E-2</v>
      </c>
      <c r="S15" s="42">
        <f>S5-S8</f>
        <v>5620.2792300000056</v>
      </c>
      <c r="T15" s="45">
        <f t="shared" si="4"/>
        <v>-0.20576914226243603</v>
      </c>
      <c r="U15" s="66">
        <f t="shared" si="5"/>
        <v>0.86531057425038282</v>
      </c>
      <c r="V15" s="123" t="s">
        <v>30</v>
      </c>
      <c r="W15" s="124"/>
      <c r="X15" s="125">
        <f>X5-X8</f>
        <v>5732.6875399999999</v>
      </c>
      <c r="Y15" s="43">
        <f>'[1]consumption-2022-2025 retrend'!$I$255</f>
        <v>-0.13697298521756573</v>
      </c>
      <c r="Z15" s="170">
        <v>7540</v>
      </c>
      <c r="AA15" s="171">
        <f t="shared" si="6"/>
        <v>0.3152644283138446</v>
      </c>
      <c r="AB15" s="125">
        <f>AB5-AB8</f>
        <v>6320</v>
      </c>
      <c r="AC15" s="45">
        <f t="shared" si="14"/>
        <v>0.10244975954157787</v>
      </c>
      <c r="AD15" s="42"/>
      <c r="AE15" s="45"/>
      <c r="AF15" s="66">
        <f t="shared" si="15"/>
        <v>0</v>
      </c>
      <c r="AH15" s="125">
        <f>AH5-AH8</f>
        <v>20002.63595</v>
      </c>
      <c r="AI15" s="45">
        <f>AH15/'[2]consumption-2022-2025 retrend'!$S$134-1</f>
        <v>-0.11914269898387886</v>
      </c>
      <c r="AJ15" s="158">
        <f t="shared" si="11"/>
        <v>22511.76063743178</v>
      </c>
      <c r="AK15" s="144">
        <f t="shared" si="16"/>
        <v>0.12543970173249996</v>
      </c>
      <c r="AL15" s="125">
        <f t="shared" si="12"/>
        <v>20595.100599999998</v>
      </c>
      <c r="AM15" s="45">
        <f t="shared" si="8"/>
        <v>2.9619328746519402E-2</v>
      </c>
      <c r="AN15" s="42"/>
      <c r="AO15" s="45"/>
      <c r="AP15" s="59">
        <f t="shared" si="9"/>
        <v>0</v>
      </c>
    </row>
    <row r="16" spans="2:42" s="33" customFormat="1" ht="13">
      <c r="B16" s="84" t="s">
        <v>31</v>
      </c>
      <c r="C16" s="1"/>
      <c r="D16" s="42">
        <f>D4-D8</f>
        <v>9192.704020000001</v>
      </c>
      <c r="E16" s="43">
        <f>'[1]consumption-2022-2025 retrend'!$G$257</f>
        <v>-0.12677414586219915</v>
      </c>
      <c r="F16" s="42">
        <f>F4-F8</f>
        <v>10526</v>
      </c>
      <c r="G16" s="45">
        <f t="shared" si="0"/>
        <v>0.14503849760627863</v>
      </c>
      <c r="H16" s="42">
        <f>H4-H8</f>
        <v>7763.1536300000025</v>
      </c>
      <c r="I16" s="45">
        <f t="shared" si="13"/>
        <v>-0.15550923720483256</v>
      </c>
      <c r="J16" s="66">
        <f t="shared" si="2"/>
        <v>0.73752172050161524</v>
      </c>
      <c r="K16" s="84" t="s">
        <v>31</v>
      </c>
      <c r="L16" s="2"/>
      <c r="M16" s="42">
        <f>M4-M8</f>
        <v>9218.6499299999996</v>
      </c>
      <c r="N16" s="43">
        <f>'[1]consumption-2022-2025 retrend'!$H$257</f>
        <v>-4.6168173666264911E-2</v>
      </c>
      <c r="O16" s="112">
        <f>O4-O8</f>
        <v>10461.760637431778</v>
      </c>
      <c r="P16" s="113">
        <f t="shared" si="1"/>
        <v>0.13484737102190603</v>
      </c>
      <c r="Q16" s="42">
        <f>Q4-Q8</f>
        <v>8295.1005999999998</v>
      </c>
      <c r="R16" s="45">
        <f t="shared" si="3"/>
        <v>-0.10018270972569621</v>
      </c>
      <c r="S16" s="42">
        <f>S4-S8</f>
        <v>7657.3266500000045</v>
      </c>
      <c r="T16" s="45">
        <f t="shared" si="4"/>
        <v>-0.16936571969383751</v>
      </c>
      <c r="U16" s="66">
        <f t="shared" si="5"/>
        <v>0.92311438031263959</v>
      </c>
      <c r="V16" s="126" t="s">
        <v>31</v>
      </c>
      <c r="W16" s="124"/>
      <c r="X16" s="125">
        <f>X4-X8</f>
        <v>7658.8530799999999</v>
      </c>
      <c r="Y16" s="43">
        <f>'[1]consumption-2022-2025 retrend'!$I$257</f>
        <v>-0.11168578620977776</v>
      </c>
      <c r="Z16" s="170">
        <v>10790</v>
      </c>
      <c r="AA16" s="171">
        <f t="shared" si="6"/>
        <v>0.40882712950540112</v>
      </c>
      <c r="AB16" s="125">
        <f>AB4-AB8</f>
        <v>8270</v>
      </c>
      <c r="AC16" s="45">
        <f t="shared" si="14"/>
        <v>7.9796140964751405E-2</v>
      </c>
      <c r="AD16" s="42"/>
      <c r="AE16" s="45"/>
      <c r="AF16" s="66">
        <f t="shared" si="15"/>
        <v>0</v>
      </c>
      <c r="AH16" s="125">
        <f>AH4-AH8</f>
        <v>26070.207029999998</v>
      </c>
      <c r="AI16" s="45">
        <f>AH16/'[2]consumption-2022-2025 retrend'!$S$136-1</f>
        <v>-9.5222262687173154E-2</v>
      </c>
      <c r="AJ16" s="158">
        <f t="shared" si="11"/>
        <v>31777.760637431777</v>
      </c>
      <c r="AK16" s="144">
        <f t="shared" si="16"/>
        <v>0.21893012206860796</v>
      </c>
      <c r="AL16" s="125">
        <f t="shared" si="12"/>
        <v>27091.100599999998</v>
      </c>
      <c r="AM16" s="45">
        <f t="shared" si="8"/>
        <v>3.9159396349450537E-2</v>
      </c>
      <c r="AN16" s="42"/>
      <c r="AO16" s="45"/>
      <c r="AP16" s="59">
        <f t="shared" si="9"/>
        <v>0</v>
      </c>
    </row>
    <row r="17" spans="2:42" s="33" customFormat="1" ht="12.5">
      <c r="J17" s="66"/>
      <c r="O17" s="114"/>
      <c r="P17" s="114"/>
    </row>
    <row r="18" spans="2:42" s="33" customFormat="1" ht="12.5">
      <c r="B18" s="172"/>
      <c r="F18" s="173"/>
      <c r="G18" s="193"/>
      <c r="J18" s="66"/>
      <c r="K18" s="175"/>
      <c r="L18" s="100"/>
      <c r="M18" s="100"/>
      <c r="N18" s="100"/>
      <c r="O18" s="176"/>
      <c r="P18" s="177"/>
      <c r="Q18" s="176"/>
      <c r="R18" s="194"/>
      <c r="V18" s="175"/>
      <c r="W18" s="100"/>
      <c r="X18" s="100"/>
      <c r="Y18" s="100"/>
      <c r="Z18" s="176"/>
      <c r="AA18" s="177"/>
      <c r="AB18" s="176"/>
      <c r="AC18" s="195"/>
      <c r="AG18" s="175"/>
      <c r="AJ18" s="176"/>
      <c r="AK18" s="177"/>
      <c r="AL18" s="176"/>
      <c r="AM18" s="177"/>
    </row>
    <row r="19" spans="2:42">
      <c r="B19" s="5"/>
      <c r="C19" s="1"/>
      <c r="D19" s="42"/>
      <c r="E19" s="43"/>
      <c r="F19" s="45"/>
      <c r="G19" s="45"/>
      <c r="H19" s="45"/>
      <c r="I19" s="45"/>
      <c r="N19" s="193"/>
      <c r="P19" s="115"/>
      <c r="Y19" s="193"/>
      <c r="AH19" s="33"/>
      <c r="AI19" s="33"/>
      <c r="AJ19" s="33"/>
      <c r="AK19" s="33"/>
      <c r="AL19" s="33"/>
      <c r="AM19" s="33"/>
      <c r="AN19" s="33"/>
      <c r="AO19" s="33"/>
      <c r="AP19" s="33"/>
    </row>
    <row r="20" spans="2:42">
      <c r="O20" s="115"/>
      <c r="P20" s="115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2:42" ht="17.5">
      <c r="B21" s="71" t="s">
        <v>42</v>
      </c>
      <c r="F21" s="455" t="s">
        <v>73</v>
      </c>
      <c r="G21" s="455"/>
      <c r="H21" s="455"/>
      <c r="I21" s="455"/>
      <c r="O21" s="115"/>
      <c r="P21" s="115"/>
      <c r="Q21" s="455" t="s">
        <v>73</v>
      </c>
      <c r="R21" s="455"/>
      <c r="S21" s="455"/>
      <c r="T21" s="455"/>
      <c r="AB21" s="161" t="s">
        <v>73</v>
      </c>
      <c r="AC21" s="161"/>
      <c r="AD21" s="161"/>
      <c r="AH21" s="33"/>
      <c r="AI21" s="33"/>
      <c r="AJ21" s="33"/>
      <c r="AK21" s="33"/>
      <c r="AL21" s="161" t="s">
        <v>73</v>
      </c>
      <c r="AM21" s="33"/>
      <c r="AN21" s="33"/>
      <c r="AO21" s="33"/>
      <c r="AP21" s="33"/>
    </row>
    <row r="22" spans="2:42" s="33" customFormat="1" ht="15" customHeight="1">
      <c r="B22" s="441" t="s">
        <v>17</v>
      </c>
      <c r="C22" s="442"/>
      <c r="D22" s="445" t="s">
        <v>57</v>
      </c>
      <c r="E22" s="446"/>
      <c r="F22" s="447" t="s">
        <v>58</v>
      </c>
      <c r="G22" s="448"/>
      <c r="H22" s="453" t="s">
        <v>78</v>
      </c>
      <c r="I22" s="454"/>
      <c r="J22" s="66"/>
      <c r="K22" s="441" t="s">
        <v>53</v>
      </c>
      <c r="L22" s="442"/>
      <c r="M22" s="445" t="s">
        <v>60</v>
      </c>
      <c r="N22" s="446"/>
      <c r="O22" s="456" t="s">
        <v>65</v>
      </c>
      <c r="P22" s="457"/>
      <c r="Q22" s="447" t="s">
        <v>66</v>
      </c>
      <c r="R22" s="448"/>
      <c r="S22" s="453" t="s">
        <v>80</v>
      </c>
      <c r="T22" s="454"/>
      <c r="U22" s="66"/>
      <c r="V22" s="441" t="s">
        <v>53</v>
      </c>
      <c r="W22" s="442"/>
      <c r="X22" s="445" t="s">
        <v>67</v>
      </c>
      <c r="Y22" s="446"/>
      <c r="Z22" s="456" t="s">
        <v>89</v>
      </c>
      <c r="AA22" s="457"/>
      <c r="AB22" s="447" t="s">
        <v>70</v>
      </c>
      <c r="AC22" s="448"/>
      <c r="AD22" s="453" t="s">
        <v>85</v>
      </c>
      <c r="AE22" s="454"/>
      <c r="AH22" s="445" t="s">
        <v>87</v>
      </c>
      <c r="AI22" s="446"/>
      <c r="AJ22" s="460" t="s">
        <v>90</v>
      </c>
      <c r="AK22" s="461"/>
      <c r="AL22" s="464" t="s">
        <v>91</v>
      </c>
      <c r="AM22" s="465"/>
      <c r="AN22" s="449" t="s">
        <v>92</v>
      </c>
      <c r="AO22" s="450"/>
    </row>
    <row r="23" spans="2:42" s="33" customFormat="1" ht="12.5" customHeight="1">
      <c r="B23" s="443"/>
      <c r="C23" s="444"/>
      <c r="D23" s="87" t="s">
        <v>62</v>
      </c>
      <c r="E23" s="75" t="s">
        <v>26</v>
      </c>
      <c r="F23" s="94" t="s">
        <v>62</v>
      </c>
      <c r="G23" s="89" t="s">
        <v>26</v>
      </c>
      <c r="H23" s="87" t="s">
        <v>62</v>
      </c>
      <c r="I23" s="7" t="s">
        <v>12</v>
      </c>
      <c r="J23" s="127" t="s">
        <v>72</v>
      </c>
      <c r="K23" s="443"/>
      <c r="L23" s="444"/>
      <c r="M23" s="87" t="s">
        <v>63</v>
      </c>
      <c r="N23" s="75" t="s">
        <v>26</v>
      </c>
      <c r="O23" s="107" t="s">
        <v>63</v>
      </c>
      <c r="P23" s="108" t="s">
        <v>26</v>
      </c>
      <c r="Q23" s="94" t="s">
        <v>63</v>
      </c>
      <c r="R23" s="89" t="s">
        <v>26</v>
      </c>
      <c r="S23" s="87" t="s">
        <v>63</v>
      </c>
      <c r="T23" s="7" t="s">
        <v>12</v>
      </c>
      <c r="U23" s="127" t="s">
        <v>72</v>
      </c>
      <c r="V23" s="443"/>
      <c r="W23" s="444"/>
      <c r="X23" s="87" t="s">
        <v>69</v>
      </c>
      <c r="Y23" s="75" t="s">
        <v>26</v>
      </c>
      <c r="Z23" s="107" t="s">
        <v>69</v>
      </c>
      <c r="AA23" s="108" t="s">
        <v>26</v>
      </c>
      <c r="AB23" s="94" t="s">
        <v>69</v>
      </c>
      <c r="AC23" s="89" t="s">
        <v>26</v>
      </c>
      <c r="AD23" s="87" t="s">
        <v>69</v>
      </c>
      <c r="AE23" s="7" t="s">
        <v>12</v>
      </c>
      <c r="AF23" s="127" t="s">
        <v>72</v>
      </c>
      <c r="AH23" s="85" t="s">
        <v>93</v>
      </c>
      <c r="AI23" s="75" t="s">
        <v>26</v>
      </c>
      <c r="AJ23" s="159" t="s">
        <v>93</v>
      </c>
      <c r="AK23" s="160" t="s">
        <v>26</v>
      </c>
      <c r="AL23" s="162" t="s">
        <v>93</v>
      </c>
      <c r="AM23" s="163" t="s">
        <v>26</v>
      </c>
      <c r="AN23" s="85" t="s">
        <v>93</v>
      </c>
      <c r="AO23" s="75" t="s">
        <v>26</v>
      </c>
    </row>
    <row r="24" spans="2:42" s="33" customFormat="1" ht="13">
      <c r="B24" s="20" t="s">
        <v>13</v>
      </c>
      <c r="C24" s="21"/>
      <c r="D24" s="22">
        <f>D25+D32</f>
        <v>9535.8472999999976</v>
      </c>
      <c r="E24" s="23">
        <f>'[1]billing 2022-2025 retrend'!$G$246</f>
        <v>-0.10840249353821274</v>
      </c>
      <c r="F24" s="22">
        <f>F25+F32</f>
        <v>9520</v>
      </c>
      <c r="G24" s="24">
        <f t="shared" ref="G24:G36" si="17">F24/D24-1</f>
        <v>-1.661865957102493E-3</v>
      </c>
      <c r="H24" s="22">
        <f>H25+H32</f>
        <v>8640.1223900000005</v>
      </c>
      <c r="I24" s="24">
        <f>H24/D24-1</f>
        <v>-9.3932388158102897E-2</v>
      </c>
      <c r="J24" s="66">
        <f>H24/F24</f>
        <v>0.90757588130252109</v>
      </c>
      <c r="K24" s="20" t="s">
        <v>13</v>
      </c>
      <c r="L24" s="21"/>
      <c r="M24" s="22">
        <f>M25+M32</f>
        <v>9057.9312800000007</v>
      </c>
      <c r="N24" s="23">
        <f>'[1]billing 2022-2025 retrend'!$H$246</f>
        <v>-0.14860762720953402</v>
      </c>
      <c r="O24" s="101">
        <f>O25+O32</f>
        <v>10668.205585795353</v>
      </c>
      <c r="P24" s="102">
        <f t="shared" ref="P24:P36" si="18">O24/M24-1</f>
        <v>0.1777750632035433</v>
      </c>
      <c r="Q24" s="22">
        <f>Q25+Q32</f>
        <v>8300</v>
      </c>
      <c r="R24" s="24">
        <f t="shared" ref="R24:R36" si="19">Q24/O24-1</f>
        <v>-0.22198724675390613</v>
      </c>
      <c r="S24" s="22">
        <f>S25+S32</f>
        <v>8002.36715</v>
      </c>
      <c r="T24" s="24">
        <f>S24/M24-1</f>
        <v>-0.11653479115376997</v>
      </c>
      <c r="U24" s="66">
        <f>S24/Q24</f>
        <v>0.96414062048192772</v>
      </c>
      <c r="V24" s="20" t="s">
        <v>13</v>
      </c>
      <c r="W24" s="21"/>
      <c r="X24" s="22">
        <f>X25+X32</f>
        <v>9458.2972599999994</v>
      </c>
      <c r="Y24" s="23">
        <f>'[1]billing 2022-2025 retrend'!$I$246</f>
        <v>-0.16247701226392175</v>
      </c>
      <c r="Z24" s="101">
        <v>11110</v>
      </c>
      <c r="AA24" s="102">
        <f>Z24/X24-1</f>
        <v>0.17463003060658733</v>
      </c>
      <c r="AB24" s="22">
        <f>AB25+AB32</f>
        <v>8300</v>
      </c>
      <c r="AC24" s="24">
        <f t="shared" ref="AC24:AC36" si="20">AB24/X24-1</f>
        <v>-0.1224636134982291</v>
      </c>
      <c r="AD24" s="22"/>
      <c r="AE24" s="24"/>
      <c r="AF24" s="66">
        <f>AD24/AB24</f>
        <v>0</v>
      </c>
      <c r="AH24" s="22">
        <f>AH25+AH32</f>
        <v>28052.075839999998</v>
      </c>
      <c r="AI24" s="23">
        <f>AH24/'[2]billing 2022-2025 retrend'!$S$125-1</f>
        <v>-0.14022895821160042</v>
      </c>
      <c r="AJ24" s="148">
        <f>AJ25+AJ32</f>
        <v>31298.205585795353</v>
      </c>
      <c r="AK24" s="149">
        <f>AJ24/AH24-1</f>
        <v>0.11571798694364843</v>
      </c>
      <c r="AL24" s="22">
        <f>AL25+AL32</f>
        <v>26120</v>
      </c>
      <c r="AM24" s="24">
        <f>AL24/AH24-1</f>
        <v>-6.8874612025859872E-2</v>
      </c>
      <c r="AN24" s="22"/>
      <c r="AO24" s="24"/>
      <c r="AP24" s="127" t="s">
        <v>72</v>
      </c>
    </row>
    <row r="25" spans="2:42" s="33" customFormat="1" ht="12.5">
      <c r="B25" s="25" t="s">
        <v>14</v>
      </c>
      <c r="C25" s="26"/>
      <c r="D25" s="27">
        <f>D26+D27+D30+D31</f>
        <v>7893.3374699999995</v>
      </c>
      <c r="E25" s="28">
        <f>'[1]billing 2022-2025 retrend'!$G$222</f>
        <v>-8.2502003868042295E-2</v>
      </c>
      <c r="F25" s="27">
        <f>F26+F27+F30+F31</f>
        <v>7020</v>
      </c>
      <c r="G25" s="29">
        <f t="shared" si="17"/>
        <v>-0.11064235797839261</v>
      </c>
      <c r="H25" s="27">
        <f>H26+H27+H30+H31</f>
        <v>6926.2497900000008</v>
      </c>
      <c r="I25" s="29">
        <f>H25/D25-1</f>
        <v>-0.12251948984514893</v>
      </c>
      <c r="J25" s="66">
        <f t="shared" ref="J25:J36" si="21">H25/F25</f>
        <v>0.98664526923076934</v>
      </c>
      <c r="K25" s="25" t="s">
        <v>14</v>
      </c>
      <c r="L25" s="26"/>
      <c r="M25" s="27">
        <f>M26+M27+M30+M31</f>
        <v>6951.1751899999999</v>
      </c>
      <c r="N25" s="28">
        <f>'[1]billing 2022-2025 retrend'!$H$222</f>
        <v>-0.23488214365883986</v>
      </c>
      <c r="O25" s="103">
        <f>O26+O27+O30+O31</f>
        <v>7714.2055857953537</v>
      </c>
      <c r="P25" s="121">
        <f t="shared" si="18"/>
        <v>0.10976998492183787</v>
      </c>
      <c r="Q25" s="27">
        <f>Q26+Q27+Q30+Q31</f>
        <v>6800</v>
      </c>
      <c r="R25" s="28">
        <f t="shared" si="19"/>
        <v>-0.11850936245188193</v>
      </c>
      <c r="S25" s="27">
        <f>S26+S27+S30+S31</f>
        <v>6079.1611599999997</v>
      </c>
      <c r="T25" s="29">
        <f t="shared" ref="T25:T36" si="22">S25/M25-1</f>
        <v>-0.12544843226717761</v>
      </c>
      <c r="U25" s="66">
        <f t="shared" ref="U25:U27" si="23">S25/Q25</f>
        <v>0.89399428823529403</v>
      </c>
      <c r="V25" s="25" t="s">
        <v>14</v>
      </c>
      <c r="W25" s="26"/>
      <c r="X25" s="27">
        <f>X26+X27+X30+X31</f>
        <v>7711.9233899999999</v>
      </c>
      <c r="Y25" s="28">
        <f>'[1]billing 2022-2025 retrend'!$I$222</f>
        <v>-0.15510112119085429</v>
      </c>
      <c r="Z25" s="103">
        <v>7810</v>
      </c>
      <c r="AA25" s="121">
        <f t="shared" ref="AA25:AA36" si="24">Z25/X25-1</f>
        <v>1.2717529083234425E-2</v>
      </c>
      <c r="AB25" s="27">
        <f>AB26+AB27+AB30+AB31</f>
        <v>6350</v>
      </c>
      <c r="AC25" s="29">
        <f t="shared" si="20"/>
        <v>-0.17659970426651239</v>
      </c>
      <c r="AD25" s="27"/>
      <c r="AE25" s="29"/>
      <c r="AF25" s="66">
        <f t="shared" ref="AF25:AF27" si="25">AD25/AB25</f>
        <v>0</v>
      </c>
      <c r="AH25" s="27">
        <f>AH26+AH27+AH30+AH31</f>
        <v>22556.436049999997</v>
      </c>
      <c r="AI25" s="28">
        <f>AH25/'[2]billing 2022-2025 retrend'!$S$101-1</f>
        <v>-0.15883923142375422</v>
      </c>
      <c r="AJ25" s="150">
        <f>AJ26+AJ27+AJ30+AJ31</f>
        <v>22544.205585795353</v>
      </c>
      <c r="AK25" s="151">
        <f>AJ25/AH25-1</f>
        <v>-5.422161629404787E-4</v>
      </c>
      <c r="AL25" s="27">
        <f>AL26+AL27+AL30+AL31</f>
        <v>20170</v>
      </c>
      <c r="AM25" s="29">
        <f t="shared" ref="AM25:AM36" si="26">AL25/AH25-1</f>
        <v>-0.1057984534751002</v>
      </c>
      <c r="AN25" s="27"/>
      <c r="AO25" s="29"/>
      <c r="AP25" s="59">
        <f>AN25/AJ25</f>
        <v>0</v>
      </c>
    </row>
    <row r="26" spans="2:42" s="33" customFormat="1" ht="13">
      <c r="B26" s="3" t="s">
        <v>5</v>
      </c>
      <c r="C26" s="11" t="s">
        <v>1</v>
      </c>
      <c r="D26" s="8">
        <f>'[1]billing 2022-2025 retrend'!$G$224</f>
        <v>3211.7033299999998</v>
      </c>
      <c r="E26" s="9">
        <f>'[1]billing 2022-2025 retrend'!$G$225</f>
        <v>-1.5688795500359731E-2</v>
      </c>
      <c r="F26" s="8">
        <v>3500</v>
      </c>
      <c r="G26" s="9">
        <f t="shared" si="17"/>
        <v>8.9764414822212091E-2</v>
      </c>
      <c r="H26" s="8">
        <v>3410.7517000000003</v>
      </c>
      <c r="I26" s="9">
        <f>H26/D26-1</f>
        <v>6.1975951558390197E-2</v>
      </c>
      <c r="J26" s="66">
        <f t="shared" si="21"/>
        <v>0.97450048571428582</v>
      </c>
      <c r="K26" s="3" t="s">
        <v>5</v>
      </c>
      <c r="L26" s="11" t="s">
        <v>1</v>
      </c>
      <c r="M26" s="8">
        <f>'[1]billing 2022-2025 retrend'!$H$224</f>
        <v>2370.41498</v>
      </c>
      <c r="N26" s="9">
        <f>'[1]billing 2022-2025 retrend'!$H$225</f>
        <v>-0.25613068679459472</v>
      </c>
      <c r="O26" s="105">
        <v>3400</v>
      </c>
      <c r="P26" s="109">
        <f t="shared" si="18"/>
        <v>0.43434800601876056</v>
      </c>
      <c r="Q26" s="8">
        <v>3300</v>
      </c>
      <c r="R26" s="116">
        <f t="shared" si="19"/>
        <v>-2.9411764705882359E-2</v>
      </c>
      <c r="S26" s="8">
        <v>2771.99046</v>
      </c>
      <c r="T26" s="9">
        <f t="shared" si="22"/>
        <v>0.16941146735412538</v>
      </c>
      <c r="U26" s="66">
        <f t="shared" si="23"/>
        <v>0.83999710909090908</v>
      </c>
      <c r="V26" s="3" t="s">
        <v>5</v>
      </c>
      <c r="W26" s="11" t="s">
        <v>1</v>
      </c>
      <c r="X26" s="8">
        <f>'[1]billing 2022-2025 retrend'!$I$224</f>
        <v>2877.3127100000002</v>
      </c>
      <c r="Y26" s="9">
        <f>'[1]billing 2022-2025 retrend'!$I$225</f>
        <v>-0.22200401886294363</v>
      </c>
      <c r="Z26" s="105">
        <v>3500</v>
      </c>
      <c r="AA26" s="164">
        <f t="shared" si="24"/>
        <v>0.21641279650830847</v>
      </c>
      <c r="AB26" s="8">
        <v>3100</v>
      </c>
      <c r="AC26" s="9">
        <f t="shared" si="20"/>
        <v>7.7394191193073336E-2</v>
      </c>
      <c r="AD26" s="8"/>
      <c r="AE26" s="9"/>
      <c r="AF26" s="66">
        <f t="shared" si="25"/>
        <v>0</v>
      </c>
      <c r="AH26" s="8">
        <f>D26+M26+X26</f>
        <v>8459.43102</v>
      </c>
      <c r="AI26" s="9">
        <f>AH26/'[2]billing 2022-2025 retrend'!$S$104-1</f>
        <v>-0.16638276904582661</v>
      </c>
      <c r="AJ26" s="152">
        <f>F26+O26+Z26</f>
        <v>10400</v>
      </c>
      <c r="AK26" s="153">
        <f>AJ26/AH26-1</f>
        <v>0.22939710429839288</v>
      </c>
      <c r="AL26" s="8">
        <f>F26+Q26+AB26</f>
        <v>9900</v>
      </c>
      <c r="AM26" s="9">
        <f t="shared" si="26"/>
        <v>0.17029147428404712</v>
      </c>
      <c r="AN26" s="8"/>
      <c r="AO26" s="9"/>
      <c r="AP26" s="59">
        <f t="shared" ref="AP26:AP36" si="27">AN26/AJ26</f>
        <v>0</v>
      </c>
    </row>
    <row r="27" spans="2:42" s="33" customFormat="1" ht="13">
      <c r="B27" s="12" t="s">
        <v>6</v>
      </c>
      <c r="C27" s="4" t="s">
        <v>2</v>
      </c>
      <c r="D27" s="8">
        <f>'[1]billing 2022-2025 retrend'!$G$227</f>
        <v>2974.67047</v>
      </c>
      <c r="E27" s="10">
        <f>'[1]billing 2022-2025 retrend'!$G$228</f>
        <v>-7.1485431576666425E-2</v>
      </c>
      <c r="F27" s="8">
        <v>2300</v>
      </c>
      <c r="G27" s="10">
        <f t="shared" si="17"/>
        <v>-0.22680511229870781</v>
      </c>
      <c r="H27" s="8">
        <v>2245.2586100000003</v>
      </c>
      <c r="I27" s="10">
        <f>H27/D27-1</f>
        <v>-0.24520761790464796</v>
      </c>
      <c r="J27" s="66">
        <f t="shared" si="21"/>
        <v>0.97619939565217406</v>
      </c>
      <c r="K27" s="12" t="s">
        <v>6</v>
      </c>
      <c r="L27" s="4" t="s">
        <v>2</v>
      </c>
      <c r="M27" s="8">
        <f>'[1]billing 2022-2025 retrend'!$H$227</f>
        <v>3512.6178</v>
      </c>
      <c r="N27" s="10">
        <f>'[1]billing 2022-2025 retrend'!$H$228</f>
        <v>0.14147909105799417</v>
      </c>
      <c r="O27" s="105">
        <v>2939.015641314445</v>
      </c>
      <c r="P27" s="110">
        <f t="shared" si="18"/>
        <v>-0.16329762910315915</v>
      </c>
      <c r="Q27" s="8">
        <v>2500</v>
      </c>
      <c r="R27" s="117">
        <f t="shared" si="19"/>
        <v>-0.14937506120862276</v>
      </c>
      <c r="S27" s="8">
        <v>2067.3816399999996</v>
      </c>
      <c r="T27" s="10">
        <f t="shared" si="22"/>
        <v>-0.41144133586067932</v>
      </c>
      <c r="U27" s="66">
        <f t="shared" si="23"/>
        <v>0.8269526559999999</v>
      </c>
      <c r="V27" s="12" t="s">
        <v>6</v>
      </c>
      <c r="W27" s="4" t="s">
        <v>2</v>
      </c>
      <c r="X27" s="8">
        <f>'[1]billing 2022-2025 retrend'!$I$227</f>
        <v>3318.0576799999999</v>
      </c>
      <c r="Y27" s="10">
        <f>'[1]billing 2022-2025 retrend'!$I$228</f>
        <v>-0.10615619317107239</v>
      </c>
      <c r="Z27" s="105">
        <v>2800</v>
      </c>
      <c r="AA27" s="165">
        <f t="shared" si="24"/>
        <v>-0.15613281321860562</v>
      </c>
      <c r="AB27" s="8">
        <v>2100</v>
      </c>
      <c r="AC27" s="10">
        <f t="shared" si="20"/>
        <v>-0.36709960991395418</v>
      </c>
      <c r="AD27" s="8"/>
      <c r="AE27" s="10"/>
      <c r="AF27" s="66">
        <f t="shared" si="25"/>
        <v>0</v>
      </c>
      <c r="AH27" s="8">
        <f t="shared" ref="AH27:AH34" si="28">D27+M27+X27</f>
        <v>9805.345949999999</v>
      </c>
      <c r="AI27" s="10">
        <f>AH27/'[2]billing 2022-2025 retrend'!$S$107-1</f>
        <v>-1.8784542537712889E-2</v>
      </c>
      <c r="AJ27" s="152">
        <f t="shared" ref="AJ27:AJ36" si="29">F27+O27+Z27</f>
        <v>8039.015641314445</v>
      </c>
      <c r="AK27" s="154">
        <f>AJ27/AH27-1</f>
        <v>-0.18013951957356023</v>
      </c>
      <c r="AL27" s="8">
        <f t="shared" ref="AL27:AL36" si="30">F27+Q27+AB27</f>
        <v>6900</v>
      </c>
      <c r="AM27" s="10">
        <f t="shared" si="26"/>
        <v>-0.29630223806636824</v>
      </c>
      <c r="AN27" s="8"/>
      <c r="AO27" s="10"/>
      <c r="AP27" s="59">
        <f t="shared" si="27"/>
        <v>0</v>
      </c>
    </row>
    <row r="28" spans="2:42" s="33" customFormat="1" ht="12.5">
      <c r="B28" s="39" t="s">
        <v>11</v>
      </c>
      <c r="C28" s="39"/>
      <c r="D28" s="40">
        <f>'[1]billing 2022-2025 retrend'!$G$250</f>
        <v>701.37014999999997</v>
      </c>
      <c r="E28" s="41">
        <f>'[1]billing 2022-2025 retrend'!$G$251</f>
        <v>-0.11983641110885501</v>
      </c>
      <c r="F28" s="40">
        <v>300</v>
      </c>
      <c r="G28" s="41"/>
      <c r="H28" s="8">
        <v>462.41289999999998</v>
      </c>
      <c r="I28" s="10"/>
      <c r="J28" s="66"/>
      <c r="K28" s="39" t="s">
        <v>11</v>
      </c>
      <c r="L28" s="39"/>
      <c r="M28" s="40">
        <f>'[1]billing 2022-2025 retrend'!$H$250</f>
        <v>557.928</v>
      </c>
      <c r="N28" s="41">
        <f>'[1]billing 2022-2025 retrend'!$H$251</f>
        <v>-0.44389280617402493</v>
      </c>
      <c r="O28" s="122">
        <f>'[1]0225 SRI03'!$H$201</f>
        <v>454.89940000000001</v>
      </c>
      <c r="P28" s="110"/>
      <c r="Q28" s="40">
        <f>'[1]0225 SRI03'!$H$201</f>
        <v>454.89940000000001</v>
      </c>
      <c r="R28" s="117"/>
      <c r="S28" s="8">
        <v>463.5532</v>
      </c>
      <c r="T28" s="10">
        <f t="shared" si="22"/>
        <v>-0.16915229205202109</v>
      </c>
      <c r="U28" s="66"/>
      <c r="V28" s="39" t="s">
        <v>11</v>
      </c>
      <c r="W28" s="4"/>
      <c r="X28" s="40">
        <f>'[1]billing 2022-2025 retrend'!$I$250</f>
        <v>538.73722999999995</v>
      </c>
      <c r="Y28" s="41">
        <f>'[1]billing 2022-2025 retrend'!$I$251</f>
        <v>-0.41327193462033585</v>
      </c>
      <c r="Z28" s="122">
        <v>300</v>
      </c>
      <c r="AA28" s="165"/>
      <c r="AB28" s="8">
        <f>AB8</f>
        <v>480</v>
      </c>
      <c r="AC28" s="10"/>
      <c r="AD28" s="8"/>
      <c r="AE28" s="10"/>
      <c r="AF28" s="66"/>
      <c r="AH28" s="8">
        <f t="shared" si="28"/>
        <v>1798.03538</v>
      </c>
      <c r="AI28" s="41">
        <f>AH28/'[2]billing 2022-2025 retrend'!$S$130-1</f>
        <v>-0.33855478019776453</v>
      </c>
      <c r="AJ28" s="152">
        <f t="shared" si="29"/>
        <v>1054.8994</v>
      </c>
      <c r="AK28" s="154"/>
      <c r="AL28" s="8">
        <f t="shared" si="30"/>
        <v>1234.8994</v>
      </c>
      <c r="AM28" s="10"/>
      <c r="AN28" s="8"/>
      <c r="AO28" s="10"/>
      <c r="AP28" s="59">
        <f t="shared" si="27"/>
        <v>0</v>
      </c>
    </row>
    <row r="29" spans="2:42" s="33" customFormat="1" ht="13.5">
      <c r="B29" s="39" t="s">
        <v>19</v>
      </c>
      <c r="C29" s="39"/>
      <c r="D29" s="40">
        <f>D27-D28</f>
        <v>2273.3003200000003</v>
      </c>
      <c r="E29" s="41">
        <f>'[1]billing 2022-2025 retrend'!$G$253</f>
        <v>-5.5477146324842463E-2</v>
      </c>
      <c r="F29" s="40">
        <f>F27-F28</f>
        <v>2000</v>
      </c>
      <c r="G29" s="41">
        <f t="shared" si="17"/>
        <v>-0.12022182797211778</v>
      </c>
      <c r="H29" s="8">
        <f>H27-H28</f>
        <v>1782.8457100000003</v>
      </c>
      <c r="I29" s="10">
        <f t="shared" ref="I29:I36" si="31">H29/D29-1</f>
        <v>-0.21574563012422399</v>
      </c>
      <c r="J29" s="66">
        <f t="shared" si="21"/>
        <v>0.89142285500000018</v>
      </c>
      <c r="K29" s="39" t="s">
        <v>19</v>
      </c>
      <c r="L29" s="39"/>
      <c r="M29" s="40">
        <f>M27-M28</f>
        <v>2954.6898000000001</v>
      </c>
      <c r="N29" s="41">
        <f>'[1]billing 2022-2025 retrend'!$H$253</f>
        <v>0.4246493226387964</v>
      </c>
      <c r="O29" s="122">
        <f>O27-O28</f>
        <v>2484.1162413144448</v>
      </c>
      <c r="P29" s="110">
        <f t="shared" si="18"/>
        <v>-0.15926326976373473</v>
      </c>
      <c r="Q29" s="40">
        <f>Q27-Q28</f>
        <v>2045.1006</v>
      </c>
      <c r="R29" s="117">
        <f t="shared" si="19"/>
        <v>-0.17672910551164234</v>
      </c>
      <c r="S29" s="8">
        <f>S27-S28</f>
        <v>1603.8284399999995</v>
      </c>
      <c r="T29" s="10">
        <f t="shared" si="22"/>
        <v>-0.45719227784926886</v>
      </c>
      <c r="U29" s="66">
        <f t="shared" ref="U29:U36" si="32">S29/Q29</f>
        <v>0.78422960709121081</v>
      </c>
      <c r="V29" s="39" t="s">
        <v>19</v>
      </c>
      <c r="W29" s="4"/>
      <c r="X29" s="40">
        <f>X27-X28</f>
        <v>2779.3204500000002</v>
      </c>
      <c r="Y29" s="41">
        <f>'[1]billing 2022-2025 retrend'!$I$253</f>
        <v>-5.2242148814125589E-3</v>
      </c>
      <c r="Z29" s="122">
        <v>2500</v>
      </c>
      <c r="AA29" s="165">
        <f t="shared" si="24"/>
        <v>-0.10049954836981834</v>
      </c>
      <c r="AB29" s="8">
        <f>AB27-AB28</f>
        <v>1620</v>
      </c>
      <c r="AC29" s="10">
        <f t="shared" si="20"/>
        <v>-0.41712370734364224</v>
      </c>
      <c r="AD29" s="8"/>
      <c r="AE29" s="10"/>
      <c r="AF29" s="66">
        <f t="shared" ref="AF29:AF36" si="33">AD29/AB29</f>
        <v>0</v>
      </c>
      <c r="AH29" s="8">
        <f t="shared" si="28"/>
        <v>8007.3105700000006</v>
      </c>
      <c r="AI29" s="41">
        <f>AH29/'[2]billing 2022-2025 retrend'!$S$132-1</f>
        <v>0.10070399944042996</v>
      </c>
      <c r="AJ29" s="152">
        <f t="shared" si="29"/>
        <v>6984.1162413144448</v>
      </c>
      <c r="AK29" s="154"/>
      <c r="AL29" s="8">
        <f t="shared" si="30"/>
        <v>5665.1005999999998</v>
      </c>
      <c r="AM29" s="10">
        <f t="shared" si="26"/>
        <v>-0.29250894535991512</v>
      </c>
      <c r="AN29" s="8"/>
      <c r="AO29" s="10"/>
      <c r="AP29" s="59"/>
    </row>
    <row r="30" spans="2:42" s="33" customFormat="1" ht="13">
      <c r="B30" s="12" t="s">
        <v>7</v>
      </c>
      <c r="C30" s="4" t="s">
        <v>15</v>
      </c>
      <c r="D30" s="8">
        <f>'[1]billing 2022-2025 retrend'!$G$230</f>
        <v>894.25424999999996</v>
      </c>
      <c r="E30" s="10">
        <f>'[1]billing 2022-2025 retrend'!$G$231</f>
        <v>-0.24969199551815913</v>
      </c>
      <c r="F30" s="8">
        <v>550</v>
      </c>
      <c r="G30" s="10">
        <f t="shared" si="17"/>
        <v>-0.38496238625648127</v>
      </c>
      <c r="H30" s="8">
        <v>578.37789999999995</v>
      </c>
      <c r="I30" s="10">
        <f t="shared" si="31"/>
        <v>-0.35322879371275007</v>
      </c>
      <c r="J30" s="66">
        <f t="shared" si="21"/>
        <v>1.0515961818181818</v>
      </c>
      <c r="K30" s="12" t="s">
        <v>7</v>
      </c>
      <c r="L30" s="4" t="s">
        <v>15</v>
      </c>
      <c r="M30" s="8">
        <f>'[1]billing 2022-2025 retrend'!$H$230</f>
        <v>442.59879000000001</v>
      </c>
      <c r="N30" s="10">
        <f>'[1]billing 2022-2025 retrend'!$H$231</f>
        <v>-0.77449853631011978</v>
      </c>
      <c r="O30" s="105">
        <v>514.7012909605678</v>
      </c>
      <c r="P30" s="110">
        <f t="shared" si="18"/>
        <v>0.16290713528739609</v>
      </c>
      <c r="Q30" s="8">
        <v>450</v>
      </c>
      <c r="R30" s="117">
        <f t="shared" si="19"/>
        <v>-0.1257064866494082</v>
      </c>
      <c r="S30" s="8">
        <v>502.93146999999999</v>
      </c>
      <c r="T30" s="10">
        <f t="shared" si="22"/>
        <v>0.13631460673446472</v>
      </c>
      <c r="U30" s="66">
        <f t="shared" si="32"/>
        <v>1.1176254888888888</v>
      </c>
      <c r="V30" s="12" t="s">
        <v>7</v>
      </c>
      <c r="W30" s="4" t="s">
        <v>15</v>
      </c>
      <c r="X30" s="8">
        <f>'[1]billing 2022-2025 retrend'!$I$230</f>
        <v>861.08510000000001</v>
      </c>
      <c r="Y30" s="10">
        <f>'[1]billing 2022-2025 retrend'!$I$231</f>
        <v>-3.437109640901026E-2</v>
      </c>
      <c r="Z30" s="105">
        <v>610</v>
      </c>
      <c r="AA30" s="165">
        <f t="shared" si="24"/>
        <v>-0.29159150471887163</v>
      </c>
      <c r="AB30" s="8">
        <v>500</v>
      </c>
      <c r="AC30" s="10">
        <f t="shared" si="20"/>
        <v>-0.41933729894989469</v>
      </c>
      <c r="AD30" s="8"/>
      <c r="AE30" s="10"/>
      <c r="AF30" s="66">
        <f t="shared" si="33"/>
        <v>0</v>
      </c>
      <c r="AH30" s="8">
        <f t="shared" si="28"/>
        <v>2197.9381400000002</v>
      </c>
      <c r="AI30" s="10">
        <f>AH30/'[2]billing 2022-2025 retrend'!$S$110-1</f>
        <v>-0.45680510376563788</v>
      </c>
      <c r="AJ30" s="152">
        <f t="shared" si="29"/>
        <v>1674.7012909605678</v>
      </c>
      <c r="AK30" s="154">
        <f t="shared" ref="AK30:AK36" si="34">AJ30/AH30-1</f>
        <v>-0.23805804154225763</v>
      </c>
      <c r="AL30" s="8">
        <f t="shared" si="30"/>
        <v>1500</v>
      </c>
      <c r="AM30" s="10">
        <f t="shared" si="26"/>
        <v>-0.3175422125392483</v>
      </c>
      <c r="AN30" s="8"/>
      <c r="AO30" s="10"/>
      <c r="AP30" s="59">
        <f t="shared" si="27"/>
        <v>0</v>
      </c>
    </row>
    <row r="31" spans="2:42" s="33" customFormat="1" ht="13">
      <c r="B31" s="12" t="s">
        <v>8</v>
      </c>
      <c r="C31" s="4" t="s">
        <v>3</v>
      </c>
      <c r="D31" s="8">
        <f>'[1]billing 2022-2025 retrend'!$G$233</f>
        <v>812.70942000000002</v>
      </c>
      <c r="E31" s="9">
        <f>'[1]billing 2022-2025 retrend'!$G$234</f>
        <v>-0.139698894927617</v>
      </c>
      <c r="F31" s="8">
        <v>670</v>
      </c>
      <c r="G31" s="9">
        <f t="shared" si="17"/>
        <v>-0.17559710332876421</v>
      </c>
      <c r="H31" s="8">
        <v>691.86158</v>
      </c>
      <c r="I31" s="9">
        <f t="shared" si="31"/>
        <v>-0.14869747664546573</v>
      </c>
      <c r="J31" s="66">
        <f t="shared" si="21"/>
        <v>1.032629223880597</v>
      </c>
      <c r="K31" s="12" t="s">
        <v>8</v>
      </c>
      <c r="L31" s="4" t="s">
        <v>3</v>
      </c>
      <c r="M31" s="8">
        <f>'[1]billing 2022-2025 retrend'!$H$233</f>
        <v>625.54362000000003</v>
      </c>
      <c r="N31" s="9">
        <f>'[1]billing 2022-2025 retrend'!$H$234</f>
        <v>-0.27136980135454702</v>
      </c>
      <c r="O31" s="105">
        <v>860.48865352034124</v>
      </c>
      <c r="P31" s="109">
        <f t="shared" si="18"/>
        <v>0.37558537248024559</v>
      </c>
      <c r="Q31" s="8">
        <v>550</v>
      </c>
      <c r="R31" s="116">
        <f t="shared" si="19"/>
        <v>-0.36082829477193279</v>
      </c>
      <c r="S31" s="8">
        <v>736.85759000000007</v>
      </c>
      <c r="T31" s="9">
        <f t="shared" si="22"/>
        <v>0.17794757462317334</v>
      </c>
      <c r="U31" s="66">
        <f t="shared" si="32"/>
        <v>1.3397410727272729</v>
      </c>
      <c r="V31" s="12" t="s">
        <v>8</v>
      </c>
      <c r="W31" s="4" t="s">
        <v>3</v>
      </c>
      <c r="X31" s="8">
        <f>'[1]billing 2022-2025 retrend'!$I$233</f>
        <v>655.46789999999999</v>
      </c>
      <c r="Y31" s="9">
        <f>'[1]billing 2022-2025 retrend'!$I$234</f>
        <v>-0.20588511200821202</v>
      </c>
      <c r="Z31" s="105">
        <v>900</v>
      </c>
      <c r="AA31" s="164">
        <f t="shared" si="24"/>
        <v>0.37306495100675408</v>
      </c>
      <c r="AB31" s="8">
        <v>650</v>
      </c>
      <c r="AC31" s="9">
        <f t="shared" si="20"/>
        <v>-8.3419798284553037E-3</v>
      </c>
      <c r="AD31" s="8"/>
      <c r="AE31" s="9"/>
      <c r="AF31" s="66">
        <f t="shared" si="33"/>
        <v>0</v>
      </c>
      <c r="AH31" s="8">
        <f t="shared" si="28"/>
        <v>2093.7209400000002</v>
      </c>
      <c r="AI31" s="9">
        <f>AH31/'[2]billing 2022-2025 retrend'!$S$113-1</f>
        <v>-0.20348654461530924</v>
      </c>
      <c r="AJ31" s="152">
        <f t="shared" si="29"/>
        <v>2430.4886535203414</v>
      </c>
      <c r="AK31" s="153">
        <f t="shared" si="34"/>
        <v>0.16084651353792223</v>
      </c>
      <c r="AL31" s="8">
        <f t="shared" si="30"/>
        <v>1870</v>
      </c>
      <c r="AM31" s="9">
        <f t="shared" si="26"/>
        <v>-0.10685327529847422</v>
      </c>
      <c r="AN31" s="8"/>
      <c r="AO31" s="9"/>
      <c r="AP31" s="59">
        <f t="shared" si="27"/>
        <v>0</v>
      </c>
    </row>
    <row r="32" spans="2:42" s="33" customFormat="1" ht="12.5">
      <c r="B32" s="26" t="s">
        <v>16</v>
      </c>
      <c r="C32" s="30"/>
      <c r="D32" s="27">
        <f>D33+D34</f>
        <v>1642.5098299999991</v>
      </c>
      <c r="E32" s="29">
        <f>'[1]billing 2022-2025 retrend'!$G$237</f>
        <v>-0.2149088711344268</v>
      </c>
      <c r="F32" s="27">
        <f>F33+F34</f>
        <v>2500</v>
      </c>
      <c r="G32" s="31">
        <f t="shared" si="17"/>
        <v>0.52206090602209754</v>
      </c>
      <c r="H32" s="27">
        <f>H33+H34</f>
        <v>1713.8725999999997</v>
      </c>
      <c r="I32" s="31">
        <f t="shared" si="31"/>
        <v>4.3447392944979013E-2</v>
      </c>
      <c r="J32" s="66">
        <f t="shared" si="21"/>
        <v>0.68554903999999983</v>
      </c>
      <c r="K32" s="26" t="s">
        <v>16</v>
      </c>
      <c r="L32" s="30"/>
      <c r="M32" s="27">
        <f>M33+M34</f>
        <v>2106.7560899999999</v>
      </c>
      <c r="N32" s="29">
        <f>'[1]billing 2022-2025 retrend'!$H$237</f>
        <v>0.35582248536361161</v>
      </c>
      <c r="O32" s="103">
        <f>O33+O34</f>
        <v>2954</v>
      </c>
      <c r="P32" s="104">
        <f t="shared" si="18"/>
        <v>0.4021556714712049</v>
      </c>
      <c r="Q32" s="27">
        <f>Q33+Q34</f>
        <v>1500</v>
      </c>
      <c r="R32" s="29">
        <f t="shared" si="19"/>
        <v>-0.49221394719025047</v>
      </c>
      <c r="S32" s="27">
        <f>S33+S34</f>
        <v>1923.2059899999999</v>
      </c>
      <c r="T32" s="31">
        <f t="shared" si="22"/>
        <v>-8.7124513782703694E-2</v>
      </c>
      <c r="U32" s="66">
        <f t="shared" si="32"/>
        <v>1.2821373266666667</v>
      </c>
      <c r="V32" s="26" t="s">
        <v>16</v>
      </c>
      <c r="W32" s="30"/>
      <c r="X32" s="27">
        <f>X33+X34</f>
        <v>1746.3738699999999</v>
      </c>
      <c r="Y32" s="29">
        <f>'[1]billing 2022-2025 retrend'!$I$237</f>
        <v>-0.19356582704933767</v>
      </c>
      <c r="Z32" s="103">
        <v>3300</v>
      </c>
      <c r="AA32" s="166">
        <f t="shared" si="24"/>
        <v>0.88962973890579344</v>
      </c>
      <c r="AB32" s="27">
        <f>AB33+AB34</f>
        <v>1950</v>
      </c>
      <c r="AC32" s="31">
        <f t="shared" si="20"/>
        <v>0.11659939117160523</v>
      </c>
      <c r="AD32" s="27"/>
      <c r="AE32" s="31"/>
      <c r="AF32" s="66">
        <f t="shared" si="33"/>
        <v>0</v>
      </c>
      <c r="AH32" s="27">
        <f>AH33+AH34</f>
        <v>5495.6397899999993</v>
      </c>
      <c r="AI32" s="29">
        <f>AH32/'[2]billing 2022-2025 retrend'!$S$116-1</f>
        <v>-5.4356606899417237E-2</v>
      </c>
      <c r="AJ32" s="150">
        <f>AJ33+AJ34</f>
        <v>8754</v>
      </c>
      <c r="AK32" s="155">
        <f t="shared" si="34"/>
        <v>0.592899159062243</v>
      </c>
      <c r="AL32" s="27">
        <f>AL33+AL34</f>
        <v>5950</v>
      </c>
      <c r="AM32" s="31">
        <f t="shared" si="26"/>
        <v>8.2676490338170483E-2</v>
      </c>
      <c r="AN32" s="27"/>
      <c r="AO32" s="31"/>
      <c r="AP32" s="59">
        <f t="shared" si="27"/>
        <v>0</v>
      </c>
    </row>
    <row r="33" spans="2:42" s="33" customFormat="1" ht="13">
      <c r="B33" s="12" t="s">
        <v>9</v>
      </c>
      <c r="C33" s="4" t="s">
        <v>0</v>
      </c>
      <c r="D33" s="15">
        <f>'[1]billing 2022-2025 retrend'!$G$239</f>
        <v>962.50890000000004</v>
      </c>
      <c r="E33" s="9">
        <f>'[1]billing 2022-2025 retrend'!$G$240</f>
        <v>-0.24720286439125139</v>
      </c>
      <c r="F33" s="8">
        <v>1900</v>
      </c>
      <c r="G33" s="10">
        <f t="shared" si="17"/>
        <v>0.97400772086367193</v>
      </c>
      <c r="H33" s="8">
        <v>1178.1575099999998</v>
      </c>
      <c r="I33" s="10">
        <f t="shared" si="31"/>
        <v>0.22404843217553605</v>
      </c>
      <c r="J33" s="66">
        <f t="shared" si="21"/>
        <v>0.62008289999999988</v>
      </c>
      <c r="K33" s="12" t="s">
        <v>9</v>
      </c>
      <c r="L33" s="4" t="s">
        <v>0</v>
      </c>
      <c r="M33" s="15">
        <f>'[1]billing 2022-2025 retrend'!$H$239</f>
        <v>1374.42302</v>
      </c>
      <c r="N33" s="9">
        <f>'[1]billing 2022-2025 retrend'!$H$240</f>
        <v>0.48015991619402509</v>
      </c>
      <c r="O33" s="105">
        <v>2200</v>
      </c>
      <c r="P33" s="110">
        <f t="shared" si="18"/>
        <v>0.60067167675931388</v>
      </c>
      <c r="Q33" s="8">
        <v>1100</v>
      </c>
      <c r="R33" s="117">
        <f t="shared" si="19"/>
        <v>-0.5</v>
      </c>
      <c r="S33" s="8">
        <v>1348.16083</v>
      </c>
      <c r="T33" s="10">
        <f t="shared" si="22"/>
        <v>-1.9107792592123474E-2</v>
      </c>
      <c r="U33" s="66">
        <f t="shared" si="32"/>
        <v>1.2256007545454546</v>
      </c>
      <c r="V33" s="12" t="s">
        <v>9</v>
      </c>
      <c r="W33" s="4" t="s">
        <v>0</v>
      </c>
      <c r="X33" s="15">
        <f>'[1]billing 2022-2025 retrend'!$I$239</f>
        <v>1093.6299300000001</v>
      </c>
      <c r="Y33" s="9">
        <f>'[1]billing 2022-2025 retrend'!$I$240</f>
        <v>-0.18283451139130058</v>
      </c>
      <c r="Z33" s="167">
        <v>2500</v>
      </c>
      <c r="AA33" s="165">
        <f t="shared" si="24"/>
        <v>1.2859652350589927</v>
      </c>
      <c r="AB33" s="8">
        <v>1350</v>
      </c>
      <c r="AC33" s="10">
        <f t="shared" si="20"/>
        <v>0.23442122693185619</v>
      </c>
      <c r="AD33" s="8"/>
      <c r="AE33" s="10"/>
      <c r="AF33" s="66">
        <f t="shared" si="33"/>
        <v>0</v>
      </c>
      <c r="AH33" s="8">
        <f t="shared" si="28"/>
        <v>3430.56185</v>
      </c>
      <c r="AI33" s="9">
        <f>AH33/'[2]billing 2022-2025 retrend'!$S$119-1</f>
        <v>-3.2407622810572634E-2</v>
      </c>
      <c r="AJ33" s="152">
        <f t="shared" si="29"/>
        <v>6600</v>
      </c>
      <c r="AK33" s="154">
        <f t="shared" si="34"/>
        <v>0.92388310970111198</v>
      </c>
      <c r="AL33" s="8">
        <f t="shared" si="30"/>
        <v>4350</v>
      </c>
      <c r="AM33" s="10">
        <f t="shared" si="26"/>
        <v>0.26801386775755121</v>
      </c>
      <c r="AN33" s="8"/>
      <c r="AO33" s="10"/>
      <c r="AP33" s="59">
        <f t="shared" si="27"/>
        <v>0</v>
      </c>
    </row>
    <row r="34" spans="2:42" s="33" customFormat="1" ht="13">
      <c r="B34" s="13" t="s">
        <v>10</v>
      </c>
      <c r="C34" s="14" t="s">
        <v>4</v>
      </c>
      <c r="D34" s="16">
        <f>'[1]billing 2022-2025 retrend'!$G$242</f>
        <v>680.00092999999902</v>
      </c>
      <c r="E34" s="17">
        <f>'[1]billing 2022-2025 retrend'!$G$243</f>
        <v>-0.16415554547435685</v>
      </c>
      <c r="F34" s="18">
        <v>600</v>
      </c>
      <c r="G34" s="19">
        <f t="shared" si="17"/>
        <v>-0.11764826556928254</v>
      </c>
      <c r="H34" s="18">
        <v>535.7150899999998</v>
      </c>
      <c r="I34" s="19">
        <f t="shared" si="31"/>
        <v>-0.21218476862965385</v>
      </c>
      <c r="J34" s="66">
        <f t="shared" si="21"/>
        <v>0.89285848333333295</v>
      </c>
      <c r="K34" s="13" t="s">
        <v>10</v>
      </c>
      <c r="L34" s="14" t="s">
        <v>4</v>
      </c>
      <c r="M34" s="16">
        <f>'[1]billing 2022-2025 retrend'!$H$242</f>
        <v>732.33307000000002</v>
      </c>
      <c r="N34" s="17">
        <f>'[1]billing 2022-2025 retrend'!$H$243</f>
        <v>0.17118108894868356</v>
      </c>
      <c r="O34" s="106">
        <v>754</v>
      </c>
      <c r="P34" s="111">
        <f t="shared" si="18"/>
        <v>2.958616903644673E-2</v>
      </c>
      <c r="Q34" s="18">
        <v>400</v>
      </c>
      <c r="R34" s="118">
        <f t="shared" si="19"/>
        <v>-0.4694960212201591</v>
      </c>
      <c r="S34" s="18">
        <v>575.04516000000001</v>
      </c>
      <c r="T34" s="19">
        <f t="shared" si="22"/>
        <v>-0.21477646776213455</v>
      </c>
      <c r="U34" s="66">
        <f t="shared" si="32"/>
        <v>1.4376129</v>
      </c>
      <c r="V34" s="13" t="s">
        <v>10</v>
      </c>
      <c r="W34" s="14" t="s">
        <v>4</v>
      </c>
      <c r="X34" s="16">
        <f>'[1]billing 2022-2025 retrend'!$I$242</f>
        <v>652.74393999999995</v>
      </c>
      <c r="Y34" s="17">
        <f>'[1]billing 2022-2025 retrend'!$I$243</f>
        <v>-0.21092733683635967</v>
      </c>
      <c r="Z34" s="168">
        <v>800</v>
      </c>
      <c r="AA34" s="169">
        <f t="shared" si="24"/>
        <v>0.22559544558927658</v>
      </c>
      <c r="AB34" s="18">
        <v>600</v>
      </c>
      <c r="AC34" s="19">
        <f t="shared" si="20"/>
        <v>-8.0803415808042511E-2</v>
      </c>
      <c r="AD34" s="18"/>
      <c r="AE34" s="19"/>
      <c r="AF34" s="66">
        <f t="shared" si="33"/>
        <v>0</v>
      </c>
      <c r="AH34" s="146">
        <f t="shared" si="28"/>
        <v>2065.0779399999988</v>
      </c>
      <c r="AI34" s="17">
        <f>AH34/'[2]billing 2022-2025 retrend'!$S$122-1</f>
        <v>-8.86976347031454E-2</v>
      </c>
      <c r="AJ34" s="156">
        <f t="shared" si="29"/>
        <v>2154</v>
      </c>
      <c r="AK34" s="157">
        <f t="shared" si="34"/>
        <v>4.3059905041647584E-2</v>
      </c>
      <c r="AL34" s="18">
        <f t="shared" si="30"/>
        <v>1600</v>
      </c>
      <c r="AM34" s="19">
        <f t="shared" si="26"/>
        <v>-0.2252108411946907</v>
      </c>
      <c r="AN34" s="16"/>
      <c r="AO34" s="19"/>
      <c r="AP34" s="59">
        <f t="shared" si="27"/>
        <v>0</v>
      </c>
    </row>
    <row r="35" spans="2:42" s="33" customFormat="1" ht="13">
      <c r="B35" s="83" t="s">
        <v>30</v>
      </c>
      <c r="D35" s="42">
        <f>D25-D28</f>
        <v>7191.9673199999997</v>
      </c>
      <c r="E35" s="43">
        <f>'[1]billing 2022-2025 retrend'!$G$255</f>
        <v>-7.8690899904793943E-2</v>
      </c>
      <c r="F35" s="42">
        <f>F25-F28</f>
        <v>6720</v>
      </c>
      <c r="G35" s="45">
        <f t="shared" si="17"/>
        <v>-6.5624230339244582E-2</v>
      </c>
      <c r="H35" s="42">
        <f>H25-H28</f>
        <v>6463.8368900000005</v>
      </c>
      <c r="I35" s="45">
        <f t="shared" si="31"/>
        <v>-0.1012421772239086</v>
      </c>
      <c r="J35" s="66">
        <f t="shared" si="21"/>
        <v>0.96188048958333339</v>
      </c>
      <c r="K35" s="83" t="s">
        <v>30</v>
      </c>
      <c r="M35" s="42">
        <f>M25-M28</f>
        <v>6393.24719</v>
      </c>
      <c r="N35" s="43">
        <f>'[1]billing 2022-2025 retrend'!$H$255</f>
        <v>-0.20893566692668963</v>
      </c>
      <c r="O35" s="112">
        <f>O25-O28</f>
        <v>7259.3061857953535</v>
      </c>
      <c r="P35" s="113">
        <f t="shared" si="18"/>
        <v>0.13546465044398714</v>
      </c>
      <c r="Q35" s="119">
        <f>Q25-Q28</f>
        <v>6345.1005999999998</v>
      </c>
      <c r="R35" s="120">
        <f t="shared" si="19"/>
        <v>-0.12593566966278757</v>
      </c>
      <c r="S35" s="42">
        <f>S25-S28</f>
        <v>5615.6079599999994</v>
      </c>
      <c r="T35" s="45">
        <f t="shared" si="22"/>
        <v>-0.12163446944712941</v>
      </c>
      <c r="U35" s="66">
        <f t="shared" si="32"/>
        <v>0.88503056358160803</v>
      </c>
      <c r="V35" s="123" t="s">
        <v>30</v>
      </c>
      <c r="X35" s="125">
        <f>X25-X28</f>
        <v>7173.1861600000002</v>
      </c>
      <c r="Y35" s="43">
        <f>'[1]billing 2022-2025 retrend'!$I$255</f>
        <v>-0.12622528010452594</v>
      </c>
      <c r="Z35" s="170">
        <v>7510</v>
      </c>
      <c r="AA35" s="171">
        <f t="shared" si="24"/>
        <v>4.6954565584563124E-2</v>
      </c>
      <c r="AB35" s="125">
        <f>AB25-AB28</f>
        <v>5870</v>
      </c>
      <c r="AC35" s="45">
        <f t="shared" si="20"/>
        <v>-0.18167466045520841</v>
      </c>
      <c r="AD35" s="42"/>
      <c r="AE35" s="45"/>
      <c r="AF35" s="66">
        <f t="shared" si="33"/>
        <v>0</v>
      </c>
      <c r="AH35" s="125">
        <f>AH25-AH28</f>
        <v>20758.400669999995</v>
      </c>
      <c r="AI35" s="45">
        <f>AH35/'[2]billing 2022-2025 retrend'!$S$134-1</f>
        <v>-0.13856623209650631</v>
      </c>
      <c r="AJ35" s="158">
        <f t="shared" si="29"/>
        <v>21489.306185795354</v>
      </c>
      <c r="AK35" s="144">
        <f t="shared" si="34"/>
        <v>3.5210107339900265E-2</v>
      </c>
      <c r="AL35" s="125">
        <f t="shared" si="30"/>
        <v>18935.100599999998</v>
      </c>
      <c r="AM35" s="45">
        <f t="shared" si="26"/>
        <v>-8.7834323028316286E-2</v>
      </c>
      <c r="AP35" s="59">
        <f t="shared" si="27"/>
        <v>0</v>
      </c>
    </row>
    <row r="36" spans="2:42" s="33" customFormat="1" ht="13">
      <c r="B36" s="84" t="s">
        <v>31</v>
      </c>
      <c r="D36" s="42">
        <f>D24-D28</f>
        <v>8834.477149999997</v>
      </c>
      <c r="E36" s="43">
        <f>'[1]billing 2022-2025 retrend'!$G$257</f>
        <v>-0.10748201204118135</v>
      </c>
      <c r="F36" s="42">
        <f>F24-F28</f>
        <v>9220</v>
      </c>
      <c r="G36" s="45">
        <f t="shared" si="17"/>
        <v>4.3638445541738013E-2</v>
      </c>
      <c r="H36" s="42">
        <f>H24-H28</f>
        <v>8177.7094900000002</v>
      </c>
      <c r="I36" s="45">
        <f t="shared" si="31"/>
        <v>-7.4341429475540233E-2</v>
      </c>
      <c r="J36" s="66">
        <f t="shared" si="21"/>
        <v>0.88695330694143171</v>
      </c>
      <c r="K36" s="84" t="s">
        <v>31</v>
      </c>
      <c r="M36" s="42">
        <f>M24-M28</f>
        <v>8500.0032800000008</v>
      </c>
      <c r="N36" s="43">
        <f>'[1]billing 2022-2025 retrend'!$H$257</f>
        <v>-0.1178623393390672</v>
      </c>
      <c r="O36" s="112">
        <f>O24-O28</f>
        <v>10213.306185795353</v>
      </c>
      <c r="P36" s="113">
        <f t="shared" si="18"/>
        <v>0.20156496996026463</v>
      </c>
      <c r="Q36" s="119">
        <f>Q24-Q28</f>
        <v>7845.1005999999998</v>
      </c>
      <c r="R36" s="120">
        <f t="shared" si="19"/>
        <v>-0.2318745313921019</v>
      </c>
      <c r="S36" s="42">
        <f>S24-S28</f>
        <v>7538.8139499999997</v>
      </c>
      <c r="T36" s="45">
        <f t="shared" si="22"/>
        <v>-0.11308105401107571</v>
      </c>
      <c r="U36" s="66">
        <f t="shared" si="32"/>
        <v>0.96095822531581043</v>
      </c>
      <c r="V36" s="126" t="s">
        <v>31</v>
      </c>
      <c r="X36" s="125">
        <f>X24-X28</f>
        <v>8919.5600299999987</v>
      </c>
      <c r="Y36" s="43">
        <f>'[1]billing 2022-2025 retrend'!$I$257</f>
        <v>-0.14028115729250212</v>
      </c>
      <c r="Z36" s="170">
        <v>10810</v>
      </c>
      <c r="AA36" s="171">
        <f t="shared" si="24"/>
        <v>0.21194318594658323</v>
      </c>
      <c r="AB36" s="125">
        <f>AB24-AB28</f>
        <v>7820</v>
      </c>
      <c r="AC36" s="45">
        <f t="shared" si="20"/>
        <v>-0.12327514208119505</v>
      </c>
      <c r="AD36" s="42"/>
      <c r="AE36" s="45"/>
      <c r="AF36" s="66">
        <f t="shared" si="33"/>
        <v>0</v>
      </c>
      <c r="AH36" s="125">
        <f>AH24-AH28</f>
        <v>26254.040459999997</v>
      </c>
      <c r="AI36" s="45">
        <f>AH36/'[2]billing 2022-2025 retrend'!$S$136-1</f>
        <v>-0.122203712081972</v>
      </c>
      <c r="AJ36" s="158">
        <f t="shared" si="29"/>
        <v>30243.306185795351</v>
      </c>
      <c r="AK36" s="144">
        <f t="shared" si="34"/>
        <v>0.15194863936746428</v>
      </c>
      <c r="AL36" s="125">
        <f t="shared" si="30"/>
        <v>24885.100599999998</v>
      </c>
      <c r="AM36" s="45">
        <f t="shared" si="26"/>
        <v>-5.2142064079076955E-2</v>
      </c>
      <c r="AP36" s="59">
        <f t="shared" si="27"/>
        <v>0</v>
      </c>
    </row>
    <row r="37" spans="2:42" s="33" customFormat="1" ht="12.5">
      <c r="J37" s="66"/>
      <c r="AP37" s="59"/>
    </row>
    <row r="38" spans="2:42" s="100" customFormat="1" ht="26" customHeight="1">
      <c r="B38" s="175"/>
      <c r="F38" s="176"/>
      <c r="G38" s="194"/>
      <c r="J38" s="178"/>
      <c r="K38" s="175"/>
      <c r="O38" s="176"/>
      <c r="P38" s="177"/>
      <c r="Q38" s="176"/>
      <c r="R38" s="194"/>
      <c r="V38" s="175"/>
      <c r="Z38" s="176"/>
      <c r="AA38" s="177"/>
      <c r="AB38" s="176"/>
      <c r="AC38" s="195"/>
      <c r="AG38" s="175"/>
      <c r="AH38" s="179"/>
      <c r="AI38" s="179"/>
      <c r="AJ38" s="176"/>
      <c r="AK38" s="177"/>
      <c r="AL38" s="176"/>
      <c r="AM38" s="177"/>
      <c r="AN38" s="179"/>
      <c r="AO38" s="179"/>
    </row>
    <row r="39" spans="2:42" s="33" customFormat="1" ht="15.5" customHeight="1">
      <c r="B39" s="172"/>
      <c r="F39" s="173"/>
      <c r="G39" s="174"/>
      <c r="J39" s="66"/>
      <c r="N39" s="193"/>
      <c r="AH39" s="46"/>
      <c r="AI39" s="46"/>
      <c r="AJ39" s="46"/>
      <c r="AK39" s="46"/>
      <c r="AL39" s="46"/>
      <c r="AM39" s="46"/>
      <c r="AN39" s="46"/>
      <c r="AO39" s="46"/>
    </row>
    <row r="40" spans="2:42" ht="17.5">
      <c r="B40" s="86" t="s">
        <v>43</v>
      </c>
      <c r="D40" s="71" t="s">
        <v>52</v>
      </c>
      <c r="F40" s="71" t="s">
        <v>52</v>
      </c>
      <c r="H40" s="71" t="s">
        <v>52</v>
      </c>
      <c r="S40" s="68"/>
      <c r="AD40" s="68"/>
      <c r="AH40" s="37"/>
      <c r="AI40" s="36"/>
      <c r="AJ40" s="36"/>
      <c r="AK40" s="36"/>
      <c r="AL40" s="36"/>
      <c r="AM40" s="36"/>
      <c r="AN40" s="37"/>
      <c r="AO40" s="36"/>
      <c r="AP40" s="33"/>
    </row>
    <row r="41" spans="2:42" ht="14" customHeight="1">
      <c r="B41" s="441" t="s">
        <v>17</v>
      </c>
      <c r="C41" s="442"/>
      <c r="D41" s="445" t="s">
        <v>57</v>
      </c>
      <c r="E41" s="446"/>
      <c r="F41" s="445" t="s">
        <v>83</v>
      </c>
      <c r="G41" s="446"/>
      <c r="H41" s="453" t="s">
        <v>78</v>
      </c>
      <c r="I41" s="454"/>
      <c r="K41" s="441" t="s">
        <v>17</v>
      </c>
      <c r="L41" s="442"/>
      <c r="M41" s="458" t="s">
        <v>60</v>
      </c>
      <c r="N41" s="459"/>
      <c r="O41" s="460" t="s">
        <v>84</v>
      </c>
      <c r="P41" s="461"/>
      <c r="Q41" s="458" t="s">
        <v>66</v>
      </c>
      <c r="R41" s="459"/>
      <c r="S41" s="462" t="s">
        <v>80</v>
      </c>
      <c r="T41" s="463"/>
      <c r="U41" s="68"/>
      <c r="V41" s="441" t="s">
        <v>17</v>
      </c>
      <c r="W41" s="442"/>
      <c r="X41" s="458" t="s">
        <v>67</v>
      </c>
      <c r="Y41" s="459"/>
      <c r="Z41" s="456" t="s">
        <v>89</v>
      </c>
      <c r="AA41" s="457"/>
      <c r="AB41" s="458" t="s">
        <v>70</v>
      </c>
      <c r="AC41" s="459"/>
      <c r="AD41" s="451" t="s">
        <v>86</v>
      </c>
      <c r="AE41" s="452"/>
      <c r="AF41" s="68"/>
      <c r="AH41" s="445" t="s">
        <v>87</v>
      </c>
      <c r="AI41" s="446"/>
      <c r="AJ41" s="456" t="s">
        <v>94</v>
      </c>
      <c r="AK41" s="457"/>
      <c r="AL41" s="458" t="s">
        <v>95</v>
      </c>
      <c r="AM41" s="459"/>
      <c r="AN41" s="458" t="s">
        <v>77</v>
      </c>
      <c r="AO41" s="459"/>
      <c r="AP41" s="33"/>
    </row>
    <row r="42" spans="2:42">
      <c r="B42" s="443"/>
      <c r="C42" s="444"/>
      <c r="D42" s="87" t="s">
        <v>51</v>
      </c>
      <c r="E42" s="75" t="s">
        <v>26</v>
      </c>
      <c r="F42" s="87" t="s">
        <v>55</v>
      </c>
      <c r="G42" s="75" t="s">
        <v>26</v>
      </c>
      <c r="H42" s="87" t="s">
        <v>82</v>
      </c>
      <c r="I42" s="75" t="s">
        <v>26</v>
      </c>
      <c r="K42" s="443"/>
      <c r="L42" s="444"/>
      <c r="M42" s="87" t="s">
        <v>51</v>
      </c>
      <c r="N42" s="75" t="s">
        <v>26</v>
      </c>
      <c r="O42" s="128" t="s">
        <v>55</v>
      </c>
      <c r="P42" s="129" t="s">
        <v>26</v>
      </c>
      <c r="Q42" s="87" t="s">
        <v>55</v>
      </c>
      <c r="R42" s="75" t="s">
        <v>26</v>
      </c>
      <c r="S42" s="87" t="s">
        <v>51</v>
      </c>
      <c r="T42" s="75" t="s">
        <v>26</v>
      </c>
      <c r="U42" s="68"/>
      <c r="V42" s="443"/>
      <c r="W42" s="444"/>
      <c r="X42" s="87" t="s">
        <v>51</v>
      </c>
      <c r="Y42" s="75" t="s">
        <v>26</v>
      </c>
      <c r="Z42" s="180" t="s">
        <v>54</v>
      </c>
      <c r="AA42" s="181" t="s">
        <v>56</v>
      </c>
      <c r="AB42" s="87" t="s">
        <v>54</v>
      </c>
      <c r="AC42" s="75" t="s">
        <v>56</v>
      </c>
      <c r="AD42" s="87" t="s">
        <v>82</v>
      </c>
      <c r="AE42" s="75" t="s">
        <v>56</v>
      </c>
      <c r="AF42" s="68"/>
      <c r="AH42" s="87" t="s">
        <v>51</v>
      </c>
      <c r="AI42" s="75" t="s">
        <v>26</v>
      </c>
      <c r="AJ42" s="180" t="s">
        <v>54</v>
      </c>
      <c r="AK42" s="181" t="s">
        <v>56</v>
      </c>
      <c r="AL42" s="87" t="s">
        <v>54</v>
      </c>
      <c r="AM42" s="75" t="s">
        <v>56</v>
      </c>
      <c r="AN42" s="87" t="s">
        <v>82</v>
      </c>
      <c r="AO42" s="75" t="s">
        <v>56</v>
      </c>
      <c r="AP42" s="33"/>
    </row>
    <row r="43" spans="2:42">
      <c r="B43" s="20" t="s">
        <v>13</v>
      </c>
      <c r="C43" s="21"/>
      <c r="D43" s="50">
        <f t="shared" ref="D43:F44" si="35">D24/D4</f>
        <v>0.96442635100664698</v>
      </c>
      <c r="E43" s="23"/>
      <c r="F43" s="50">
        <f t="shared" si="35"/>
        <v>0.87936449288749308</v>
      </c>
      <c r="G43" s="23"/>
      <c r="H43" s="50">
        <f t="shared" ref="H43" si="36">H24/H4</f>
        <v>1.04740023983768</v>
      </c>
      <c r="I43" s="51"/>
      <c r="K43" s="20" t="s">
        <v>13</v>
      </c>
      <c r="L43" s="21"/>
      <c r="M43" s="50">
        <f t="shared" ref="M43" si="37">M24/M4</f>
        <v>0.92815483479608551</v>
      </c>
      <c r="N43" s="23"/>
      <c r="O43" s="130">
        <f t="shared" ref="O43" si="38">O24/O4</f>
        <v>0.97724079976984646</v>
      </c>
      <c r="P43" s="131"/>
      <c r="Q43" s="50">
        <f t="shared" ref="Q43:Q44" si="39">Q24/Q4</f>
        <v>0.94857142857142862</v>
      </c>
      <c r="R43" s="51"/>
      <c r="S43" s="50">
        <f t="shared" ref="S43:S44" si="40">S24/S4</f>
        <v>0.98920498189921946</v>
      </c>
      <c r="T43" s="145"/>
      <c r="U43" s="68"/>
      <c r="V43" s="20" t="s">
        <v>13</v>
      </c>
      <c r="W43" s="21"/>
      <c r="X43" s="50">
        <f t="shared" ref="X43:X44" si="41">X24/X4</f>
        <v>1.159786789280701</v>
      </c>
      <c r="Y43" s="23"/>
      <c r="Z43" s="23"/>
      <c r="AA43" s="23"/>
      <c r="AB43" s="50">
        <f t="shared" ref="AB43:AB44" si="42">AB24/AB4</f>
        <v>0.94857142857142862</v>
      </c>
      <c r="AC43" s="23"/>
      <c r="AD43" s="50"/>
      <c r="AE43" s="51"/>
      <c r="AF43" s="68"/>
      <c r="AH43" s="50">
        <f t="shared" ref="AH43:AJ44" si="43">AH24/AH4</f>
        <v>1.0089999030273575</v>
      </c>
      <c r="AI43" s="23"/>
      <c r="AJ43" s="182">
        <f t="shared" si="43"/>
        <v>0.95326438826805293</v>
      </c>
      <c r="AK43" s="183"/>
      <c r="AL43" s="50">
        <f t="shared" ref="AL43" si="44">AL24/AL4</f>
        <v>0.9221210195580033</v>
      </c>
      <c r="AM43" s="23"/>
      <c r="AN43" s="50"/>
      <c r="AO43" s="23"/>
      <c r="AP43" s="33"/>
    </row>
    <row r="44" spans="2:42">
      <c r="B44" s="25" t="s">
        <v>14</v>
      </c>
      <c r="C44" s="26"/>
      <c r="D44" s="52">
        <f t="shared" si="35"/>
        <v>1.0006196591752965</v>
      </c>
      <c r="E44" s="28"/>
      <c r="F44" s="52">
        <f t="shared" si="35"/>
        <v>0.86881188118811881</v>
      </c>
      <c r="G44" s="61"/>
      <c r="H44" s="52">
        <f t="shared" ref="H44" si="45">H25/H5</f>
        <v>1.016569767010935</v>
      </c>
      <c r="I44" s="29"/>
      <c r="K44" s="25" t="s">
        <v>14</v>
      </c>
      <c r="L44" s="26"/>
      <c r="M44" s="52">
        <f t="shared" ref="M44" si="46">M25/M5</f>
        <v>0.9126105517566041</v>
      </c>
      <c r="N44" s="28"/>
      <c r="O44" s="132">
        <f t="shared" ref="O44" si="47">O25/O5</f>
        <v>1.00883334005081</v>
      </c>
      <c r="P44" s="133"/>
      <c r="Q44" s="52">
        <f t="shared" si="39"/>
        <v>0.97841726618705038</v>
      </c>
      <c r="R44" s="29"/>
      <c r="S44" s="52">
        <f t="shared" si="40"/>
        <v>1.0043804000144629</v>
      </c>
      <c r="T44" s="29"/>
      <c r="U44" s="68"/>
      <c r="V44" s="25" t="s">
        <v>14</v>
      </c>
      <c r="W44" s="26"/>
      <c r="X44" s="52">
        <f t="shared" si="41"/>
        <v>1.2380601088456367</v>
      </c>
      <c r="Y44" s="28"/>
      <c r="Z44" s="61"/>
      <c r="AA44" s="61"/>
      <c r="AB44" s="52">
        <f t="shared" si="42"/>
        <v>0.93382352941176472</v>
      </c>
      <c r="AC44" s="61"/>
      <c r="AD44" s="52"/>
      <c r="AE44" s="29"/>
      <c r="AF44" s="68"/>
      <c r="AH44" s="52">
        <f t="shared" si="43"/>
        <v>1.0378271074657153</v>
      </c>
      <c r="AI44" s="28"/>
      <c r="AJ44" s="184">
        <f t="shared" si="43"/>
        <v>0.95661436750000106</v>
      </c>
      <c r="AK44" s="121"/>
      <c r="AL44" s="52">
        <f t="shared" ref="AL44" si="48">AL25/AL5</f>
        <v>0.92395785616124604</v>
      </c>
      <c r="AM44" s="28"/>
      <c r="AN44" s="52"/>
      <c r="AO44" s="28"/>
      <c r="AP44" s="33"/>
    </row>
    <row r="45" spans="2:42">
      <c r="B45" s="3" t="s">
        <v>5</v>
      </c>
      <c r="C45" s="11" t="s">
        <v>1</v>
      </c>
      <c r="D45" s="53">
        <f>D26/D6</f>
        <v>0.9074600100289244</v>
      </c>
      <c r="E45" s="9"/>
      <c r="F45" s="53">
        <f>F26/F6</f>
        <v>0.89743589743589747</v>
      </c>
      <c r="G45" s="62"/>
      <c r="H45" s="53">
        <f>H26/H6</f>
        <v>0.96220871474854897</v>
      </c>
      <c r="I45" s="9"/>
      <c r="K45" s="3" t="s">
        <v>5</v>
      </c>
      <c r="L45" s="11" t="s">
        <v>1</v>
      </c>
      <c r="M45" s="53">
        <f>M26/M6</f>
        <v>0.84128980695466726</v>
      </c>
      <c r="N45" s="9"/>
      <c r="O45" s="134">
        <f>O26/O6</f>
        <v>1.0252787345356336</v>
      </c>
      <c r="P45" s="135"/>
      <c r="Q45" s="53">
        <f>Q26/Q6</f>
        <v>1</v>
      </c>
      <c r="R45" s="9"/>
      <c r="S45" s="53">
        <f>S26/S6</f>
        <v>0.93523882714709283</v>
      </c>
      <c r="T45" s="9"/>
      <c r="U45" s="68"/>
      <c r="V45" s="3" t="s">
        <v>5</v>
      </c>
      <c r="W45" s="11" t="s">
        <v>1</v>
      </c>
      <c r="X45" s="53">
        <f>X26/X6</f>
        <v>1.0093632100062495</v>
      </c>
      <c r="Y45" s="9"/>
      <c r="Z45" s="62"/>
      <c r="AA45" s="62"/>
      <c r="AB45" s="53">
        <f>AB26/AB6</f>
        <v>0.92537313432835822</v>
      </c>
      <c r="AC45" s="62"/>
      <c r="AD45" s="53"/>
      <c r="AE45" s="9"/>
      <c r="AF45" s="68"/>
      <c r="AH45" s="53">
        <f>AH26/AH6</f>
        <v>0.91876027942378491</v>
      </c>
      <c r="AI45" s="9"/>
      <c r="AJ45" s="185">
        <f>AJ26/AJ6</f>
        <v>0.97049586343998595</v>
      </c>
      <c r="AK45" s="164"/>
      <c r="AL45" s="53">
        <f>AL26/AL6</f>
        <v>0.93838862559241709</v>
      </c>
      <c r="AM45" s="9"/>
      <c r="AN45" s="53"/>
      <c r="AO45" s="9"/>
    </row>
    <row r="46" spans="2:42">
      <c r="B46" s="38" t="s">
        <v>18</v>
      </c>
      <c r="C46" s="4" t="s">
        <v>2</v>
      </c>
      <c r="D46" s="53">
        <f t="shared" ref="D46:F55" si="49">D27/D7</f>
        <v>1.0029430417843901</v>
      </c>
      <c r="E46" s="10"/>
      <c r="F46" s="53">
        <f t="shared" si="49"/>
        <v>0.85185185185185186</v>
      </c>
      <c r="G46" s="36"/>
      <c r="H46" s="53">
        <f t="shared" ref="H46" si="50">H27/H7</f>
        <v>0.94987540360454192</v>
      </c>
      <c r="I46" s="10"/>
      <c r="K46" s="38" t="s">
        <v>18</v>
      </c>
      <c r="L46" s="4" t="s">
        <v>2</v>
      </c>
      <c r="M46" s="53">
        <f t="shared" ref="M46" si="51">M27/M7</f>
        <v>0.99817903864706237</v>
      </c>
      <c r="N46" s="10"/>
      <c r="O46" s="134">
        <f t="shared" ref="O46" si="52">O27/O7</f>
        <v>1.0496484433265876</v>
      </c>
      <c r="P46" s="136"/>
      <c r="Q46" s="53">
        <f t="shared" ref="Q46:Q55" si="53">Q27/Q7</f>
        <v>1</v>
      </c>
      <c r="R46" s="10"/>
      <c r="S46" s="53">
        <f t="shared" ref="S46:S55" si="54">S27/S7</f>
        <v>0.99623577685995857</v>
      </c>
      <c r="T46" s="10"/>
      <c r="U46" s="68"/>
      <c r="V46" s="38" t="s">
        <v>18</v>
      </c>
      <c r="W46" s="4" t="s">
        <v>2</v>
      </c>
      <c r="X46" s="53">
        <f t="shared" ref="X46:X55" si="55">X27/X7</f>
        <v>1.4079706864750243</v>
      </c>
      <c r="Y46" s="10"/>
      <c r="Z46" s="36"/>
      <c r="AA46" s="36"/>
      <c r="AB46" s="53">
        <f t="shared" ref="AB46:AB55" si="56">AB27/AB7</f>
        <v>0.93333333333333335</v>
      </c>
      <c r="AC46" s="36"/>
      <c r="AD46" s="53"/>
      <c r="AE46" s="10"/>
      <c r="AF46" s="68"/>
      <c r="AH46" s="53">
        <f t="shared" ref="AH46:AJ55" si="57">AH27/AH7</f>
        <v>1.109002371225811</v>
      </c>
      <c r="AI46" s="10"/>
      <c r="AJ46" s="185">
        <f t="shared" si="57"/>
        <v>0.96855610136318615</v>
      </c>
      <c r="AK46" s="165"/>
      <c r="AL46" s="53">
        <f t="shared" ref="AL46" si="58">AL27/AL7</f>
        <v>0.9261744966442953</v>
      </c>
      <c r="AM46" s="10"/>
      <c r="AN46" s="53"/>
      <c r="AO46" s="10"/>
    </row>
    <row r="47" spans="2:42">
      <c r="B47" s="39" t="s">
        <v>11</v>
      </c>
      <c r="C47" s="39"/>
      <c r="D47" s="54">
        <f t="shared" si="49"/>
        <v>1.0093388685756512</v>
      </c>
      <c r="E47" s="41"/>
      <c r="F47" s="54">
        <f t="shared" si="49"/>
        <v>1</v>
      </c>
      <c r="G47" s="49"/>
      <c r="H47" s="54">
        <f t="shared" ref="H47" si="59">H28/H8</f>
        <v>0.95154744069379726</v>
      </c>
      <c r="I47" s="41"/>
      <c r="K47" s="39" t="s">
        <v>11</v>
      </c>
      <c r="L47" s="39"/>
      <c r="M47" s="54">
        <f t="shared" ref="M47" si="60">M28/M8</f>
        <v>1.0323901472844637</v>
      </c>
      <c r="N47" s="41"/>
      <c r="O47" s="137">
        <f t="shared" ref="O47" si="61">O28/O8</f>
        <v>1</v>
      </c>
      <c r="P47" s="138"/>
      <c r="Q47" s="54">
        <f t="shared" si="53"/>
        <v>1</v>
      </c>
      <c r="R47" s="41"/>
      <c r="S47" s="54">
        <f t="shared" si="54"/>
        <v>1.0721242653640408</v>
      </c>
      <c r="T47" s="41"/>
      <c r="U47" s="68"/>
      <c r="V47" s="39" t="s">
        <v>11</v>
      </c>
      <c r="W47" s="39"/>
      <c r="X47" s="54">
        <f t="shared" si="55"/>
        <v>1.0853969897072713</v>
      </c>
      <c r="Y47" s="41"/>
      <c r="Z47" s="49"/>
      <c r="AA47" s="49"/>
      <c r="AB47" s="54">
        <f t="shared" si="56"/>
        <v>1</v>
      </c>
      <c r="AC47" s="49"/>
      <c r="AD47" s="54"/>
      <c r="AE47" s="41"/>
      <c r="AF47" s="68"/>
      <c r="AH47" s="54">
        <f t="shared" si="57"/>
        <v>1.0383336401208152</v>
      </c>
      <c r="AI47" s="41"/>
      <c r="AJ47" s="186">
        <f t="shared" si="57"/>
        <v>1</v>
      </c>
      <c r="AK47" s="187"/>
      <c r="AL47" s="54">
        <f t="shared" ref="AL47" si="62">AL28/AL8</f>
        <v>1</v>
      </c>
      <c r="AM47" s="41"/>
      <c r="AN47" s="54"/>
      <c r="AO47" s="41"/>
    </row>
    <row r="48" spans="2:42" ht="14.5">
      <c r="B48" s="39" t="s">
        <v>19</v>
      </c>
      <c r="C48" s="39"/>
      <c r="D48" s="54">
        <f t="shared" si="49"/>
        <v>1.0009860986418404</v>
      </c>
      <c r="E48" s="41"/>
      <c r="F48" s="54">
        <f t="shared" si="49"/>
        <v>0.83333333333333337</v>
      </c>
      <c r="G48" s="49"/>
      <c r="H48" s="54">
        <f t="shared" ref="H48" si="63">H29/H9</f>
        <v>0.94944269015185911</v>
      </c>
      <c r="I48" s="41"/>
      <c r="K48" s="39" t="s">
        <v>19</v>
      </c>
      <c r="L48" s="39"/>
      <c r="M48" s="54">
        <f t="shared" ref="M48" si="64">M29/M9</f>
        <v>0.9919719357221588</v>
      </c>
      <c r="N48" s="41"/>
      <c r="O48" s="137">
        <f t="shared" ref="O48" si="65">O29/O9</f>
        <v>1.0592791803108341</v>
      </c>
      <c r="P48" s="138"/>
      <c r="Q48" s="54">
        <f t="shared" si="53"/>
        <v>1</v>
      </c>
      <c r="R48" s="41"/>
      <c r="S48" s="54">
        <f t="shared" si="54"/>
        <v>0.97626296257063827</v>
      </c>
      <c r="T48" s="41"/>
      <c r="U48" s="68"/>
      <c r="V48" s="39" t="s">
        <v>19</v>
      </c>
      <c r="W48" s="39"/>
      <c r="X48" s="54">
        <f t="shared" si="55"/>
        <v>1.4940384418267223</v>
      </c>
      <c r="Y48" s="41"/>
      <c r="Z48" s="49"/>
      <c r="AA48" s="49"/>
      <c r="AB48" s="54">
        <f t="shared" si="56"/>
        <v>0.9152542372881356</v>
      </c>
      <c r="AC48" s="49"/>
      <c r="AD48" s="54"/>
      <c r="AE48" s="41"/>
      <c r="AF48" s="68"/>
      <c r="AH48" s="54">
        <f t="shared" si="57"/>
        <v>1.1262140354114767</v>
      </c>
      <c r="AI48" s="41"/>
      <c r="AJ48" s="186">
        <f t="shared" si="57"/>
        <v>0.96397781437492325</v>
      </c>
      <c r="AK48" s="187"/>
      <c r="AL48" s="54">
        <f t="shared" ref="AL48" si="66">AL29/AL9</f>
        <v>0.91150585720205402</v>
      </c>
      <c r="AM48" s="41"/>
      <c r="AN48" s="54"/>
      <c r="AO48" s="41"/>
    </row>
    <row r="49" spans="2:41">
      <c r="B49" s="12" t="s">
        <v>7</v>
      </c>
      <c r="C49" s="4" t="s">
        <v>15</v>
      </c>
      <c r="D49" s="53">
        <f t="shared" si="49"/>
        <v>1.3525172991320578</v>
      </c>
      <c r="E49" s="10"/>
      <c r="F49" s="53">
        <f t="shared" si="49"/>
        <v>0.80882352941176472</v>
      </c>
      <c r="G49" s="36"/>
      <c r="H49" s="53">
        <f t="shared" ref="H49" si="67">H30/H10</f>
        <v>1.494888482718348</v>
      </c>
      <c r="I49" s="10"/>
      <c r="K49" s="12" t="s">
        <v>7</v>
      </c>
      <c r="L49" s="4" t="s">
        <v>15</v>
      </c>
      <c r="M49" s="53">
        <f t="shared" ref="M49" si="68">M30/M10</f>
        <v>0.87855456536490639</v>
      </c>
      <c r="N49" s="10"/>
      <c r="O49" s="134">
        <f t="shared" ref="O49" si="69">O30/O10</f>
        <v>0.76821088203069821</v>
      </c>
      <c r="P49" s="136"/>
      <c r="Q49" s="53">
        <f t="shared" si="53"/>
        <v>0.9</v>
      </c>
      <c r="R49" s="10"/>
      <c r="S49" s="53">
        <f t="shared" si="54"/>
        <v>1.1213128639468193</v>
      </c>
      <c r="T49" s="10"/>
      <c r="U49" s="68"/>
      <c r="V49" s="12" t="s">
        <v>7</v>
      </c>
      <c r="W49" s="4" t="s">
        <v>15</v>
      </c>
      <c r="X49" s="53">
        <f t="shared" si="55"/>
        <v>1.6033469287191497</v>
      </c>
      <c r="Y49" s="10"/>
      <c r="Z49" s="36"/>
      <c r="AA49" s="36"/>
      <c r="AB49" s="53">
        <f t="shared" si="56"/>
        <v>0.98039215686274506</v>
      </c>
      <c r="AC49" s="36"/>
      <c r="AD49" s="53"/>
      <c r="AE49" s="10"/>
      <c r="AF49" s="68"/>
      <c r="AH49" s="53">
        <f t="shared" si="57"/>
        <v>1.291375579255974</v>
      </c>
      <c r="AI49" s="10"/>
      <c r="AJ49" s="185">
        <f t="shared" si="57"/>
        <v>0.83735064548028393</v>
      </c>
      <c r="AK49" s="165"/>
      <c r="AL49" s="53">
        <f t="shared" ref="AL49" si="70">AL30/AL10</f>
        <v>0.8875739644970414</v>
      </c>
      <c r="AM49" s="10"/>
      <c r="AN49" s="53"/>
      <c r="AO49" s="10"/>
    </row>
    <row r="50" spans="2:41">
      <c r="B50" s="12" t="s">
        <v>8</v>
      </c>
      <c r="C50" s="4" t="s">
        <v>3</v>
      </c>
      <c r="D50" s="53">
        <f t="shared" si="49"/>
        <v>1.125469412728503</v>
      </c>
      <c r="E50" s="9"/>
      <c r="F50" s="53">
        <f t="shared" si="49"/>
        <v>0.83750000000000002</v>
      </c>
      <c r="G50" s="62"/>
      <c r="H50" s="53">
        <f t="shared" ref="H50" si="71">H31/H11</f>
        <v>1.3356417144746375</v>
      </c>
      <c r="I50" s="9"/>
      <c r="K50" s="12" t="s">
        <v>8</v>
      </c>
      <c r="L50" s="4" t="s">
        <v>3</v>
      </c>
      <c r="M50" s="53">
        <f t="shared" ref="M50" si="72">M31/M11</f>
        <v>0.80569681564969109</v>
      </c>
      <c r="N50" s="9"/>
      <c r="O50" s="134">
        <f t="shared" ref="O50" si="73">O31/O11</f>
        <v>1</v>
      </c>
      <c r="P50" s="135"/>
      <c r="Q50" s="53">
        <f t="shared" si="53"/>
        <v>0.84615384615384615</v>
      </c>
      <c r="R50" s="9"/>
      <c r="S50" s="53">
        <f t="shared" si="54"/>
        <v>1.3041814740668791</v>
      </c>
      <c r="T50" s="9"/>
      <c r="U50" s="68"/>
      <c r="V50" s="12" t="s">
        <v>8</v>
      </c>
      <c r="W50" s="4" t="s">
        <v>3</v>
      </c>
      <c r="X50" s="53">
        <f t="shared" si="55"/>
        <v>1.3522125756688179</v>
      </c>
      <c r="Y50" s="9"/>
      <c r="Z50" s="62"/>
      <c r="AA50" s="62"/>
      <c r="AB50" s="53">
        <f t="shared" si="56"/>
        <v>0.94202898550724634</v>
      </c>
      <c r="AC50" s="62"/>
      <c r="AD50" s="53"/>
      <c r="AE50" s="9"/>
      <c r="AF50" s="68"/>
      <c r="AH50" s="53">
        <f t="shared" si="57"/>
        <v>1.0557045557378524</v>
      </c>
      <c r="AI50" s="9"/>
      <c r="AJ50" s="185">
        <f t="shared" si="57"/>
        <v>0.95295019257020863</v>
      </c>
      <c r="AK50" s="164"/>
      <c r="AL50" s="53">
        <f t="shared" ref="AL50" si="74">AL31/AL11</f>
        <v>0.87383177570093462</v>
      </c>
      <c r="AM50" s="9"/>
      <c r="AN50" s="53"/>
      <c r="AO50" s="9"/>
    </row>
    <row r="51" spans="2:41">
      <c r="B51" s="26" t="s">
        <v>16</v>
      </c>
      <c r="C51" s="30"/>
      <c r="D51" s="52">
        <f t="shared" si="49"/>
        <v>0.82161007649581663</v>
      </c>
      <c r="E51" s="29"/>
      <c r="F51" s="52">
        <f t="shared" si="49"/>
        <v>0.91041514930808454</v>
      </c>
      <c r="G51" s="63"/>
      <c r="H51" s="52">
        <f t="shared" ref="H51" si="75">H32/H12</f>
        <v>1.1937054478484046</v>
      </c>
      <c r="I51" s="31"/>
      <c r="K51" s="26" t="s">
        <v>16</v>
      </c>
      <c r="L51" s="30"/>
      <c r="M51" s="52">
        <f t="shared" ref="M51" si="76">M32/M12</f>
        <v>0.98342225839506536</v>
      </c>
      <c r="N51" s="29"/>
      <c r="O51" s="132">
        <f t="shared" ref="O51" si="77">O32/O12</f>
        <v>0.90336391437308872</v>
      </c>
      <c r="P51" s="139"/>
      <c r="Q51" s="52">
        <f t="shared" si="53"/>
        <v>0.83333333333333337</v>
      </c>
      <c r="R51" s="31"/>
      <c r="S51" s="52">
        <f t="shared" si="54"/>
        <v>0.94411449194442443</v>
      </c>
      <c r="T51" s="31"/>
      <c r="U51" s="68"/>
      <c r="V51" s="26" t="s">
        <v>16</v>
      </c>
      <c r="W51" s="30"/>
      <c r="X51" s="52">
        <f t="shared" si="55"/>
        <v>0.9066582459989394</v>
      </c>
      <c r="Y51" s="29"/>
      <c r="Z51" s="61"/>
      <c r="AA51" s="61"/>
      <c r="AB51" s="52">
        <f t="shared" si="56"/>
        <v>1</v>
      </c>
      <c r="AC51" s="63"/>
      <c r="AD51" s="52"/>
      <c r="AE51" s="31"/>
      <c r="AF51" s="68"/>
      <c r="AH51" s="52">
        <f t="shared" si="57"/>
        <v>0.90573966378651793</v>
      </c>
      <c r="AI51" s="29"/>
      <c r="AJ51" s="184">
        <f t="shared" si="57"/>
        <v>0.94474422620332399</v>
      </c>
      <c r="AK51" s="104"/>
      <c r="AL51" s="52">
        <f t="shared" ref="AL51" si="78">AL32/AL12</f>
        <v>0.91594827586206895</v>
      </c>
      <c r="AM51" s="29"/>
      <c r="AN51" s="52"/>
      <c r="AO51" s="29"/>
    </row>
    <row r="52" spans="2:41">
      <c r="B52" s="12" t="s">
        <v>9</v>
      </c>
      <c r="C52" s="4" t="s">
        <v>0</v>
      </c>
      <c r="D52" s="55">
        <f t="shared" si="49"/>
        <v>0.76815096002020711</v>
      </c>
      <c r="E52" s="9"/>
      <c r="F52" s="55">
        <f t="shared" si="49"/>
        <v>0.95</v>
      </c>
      <c r="G52" s="36"/>
      <c r="H52" s="55">
        <f t="shared" ref="H52" si="79">H33/H13</f>
        <v>1.1411190894180507</v>
      </c>
      <c r="I52" s="10"/>
      <c r="K52" s="12" t="s">
        <v>9</v>
      </c>
      <c r="L52" s="4" t="s">
        <v>0</v>
      </c>
      <c r="M52" s="55">
        <f t="shared" ref="M52" si="80">M33/M13</f>
        <v>0.94107188579423939</v>
      </c>
      <c r="N52" s="9"/>
      <c r="O52" s="140">
        <f t="shared" ref="O52" si="81">O33/O13</f>
        <v>0.88</v>
      </c>
      <c r="P52" s="136"/>
      <c r="Q52" s="55">
        <f t="shared" si="53"/>
        <v>0.91666666666666663</v>
      </c>
      <c r="R52" s="10"/>
      <c r="S52" s="55">
        <f t="shared" si="54"/>
        <v>0.94550598649899986</v>
      </c>
      <c r="T52" s="10"/>
      <c r="U52" s="68"/>
      <c r="V52" s="12" t="s">
        <v>9</v>
      </c>
      <c r="W52" s="4" t="s">
        <v>0</v>
      </c>
      <c r="X52" s="55">
        <f t="shared" si="55"/>
        <v>0.82927248890408278</v>
      </c>
      <c r="Y52" s="9"/>
      <c r="Z52" s="62"/>
      <c r="AA52" s="62"/>
      <c r="AB52" s="55">
        <f t="shared" si="56"/>
        <v>1</v>
      </c>
      <c r="AC52" s="36"/>
      <c r="AD52" s="55"/>
      <c r="AE52" s="10"/>
      <c r="AF52" s="68"/>
      <c r="AH52" s="55">
        <f t="shared" si="57"/>
        <v>0.85077268296708486</v>
      </c>
      <c r="AI52" s="9"/>
      <c r="AJ52" s="188">
        <f t="shared" si="57"/>
        <v>0.94285714285714284</v>
      </c>
      <c r="AK52" s="164"/>
      <c r="AL52" s="55">
        <f t="shared" ref="AL52" si="82">AL33/AL13</f>
        <v>0.95604395604395609</v>
      </c>
      <c r="AM52" s="9"/>
      <c r="AN52" s="55"/>
      <c r="AO52" s="9"/>
    </row>
    <row r="53" spans="2:41">
      <c r="B53" s="13" t="s">
        <v>10</v>
      </c>
      <c r="C53" s="14" t="s">
        <v>4</v>
      </c>
      <c r="D53" s="56">
        <f t="shared" si="49"/>
        <v>0.91138896225038646</v>
      </c>
      <c r="E53" s="17"/>
      <c r="F53" s="56">
        <f t="shared" si="49"/>
        <v>0.80428954423592491</v>
      </c>
      <c r="G53" s="64"/>
      <c r="H53" s="56">
        <f t="shared" ref="H53" si="83">H34/H14</f>
        <v>1.3283276932033783</v>
      </c>
      <c r="I53" s="19"/>
      <c r="K53" s="13" t="s">
        <v>10</v>
      </c>
      <c r="L53" s="14" t="s">
        <v>4</v>
      </c>
      <c r="M53" s="56">
        <f t="shared" ref="M53" si="84">M34/M14</f>
        <v>1.0741433928262314</v>
      </c>
      <c r="N53" s="17"/>
      <c r="O53" s="141">
        <f t="shared" ref="O53" si="85">O34/O14</f>
        <v>0.97922077922077921</v>
      </c>
      <c r="P53" s="142"/>
      <c r="Q53" s="56">
        <f t="shared" si="53"/>
        <v>0.66666666666666663</v>
      </c>
      <c r="R53" s="19"/>
      <c r="S53" s="56">
        <f t="shared" si="54"/>
        <v>0.94086821343288785</v>
      </c>
      <c r="T53" s="19"/>
      <c r="U53" s="68"/>
      <c r="V53" s="13" t="s">
        <v>10</v>
      </c>
      <c r="W53" s="14" t="s">
        <v>4</v>
      </c>
      <c r="X53" s="56">
        <f t="shared" si="55"/>
        <v>1.0746822788210895</v>
      </c>
      <c r="Y53" s="17"/>
      <c r="Z53" s="147"/>
      <c r="AA53" s="147"/>
      <c r="AB53" s="56">
        <f t="shared" si="56"/>
        <v>1</v>
      </c>
      <c r="AC53" s="64"/>
      <c r="AD53" s="56"/>
      <c r="AE53" s="19"/>
      <c r="AF53" s="68"/>
      <c r="AH53" s="56">
        <f t="shared" si="57"/>
        <v>1.0146399750792201</v>
      </c>
      <c r="AI53" s="17"/>
      <c r="AJ53" s="189">
        <f t="shared" si="57"/>
        <v>0.95057369814651371</v>
      </c>
      <c r="AK53" s="190"/>
      <c r="AL53" s="56">
        <f t="shared" ref="AL53" si="86">AL34/AL14</f>
        <v>0.8221993833504625</v>
      </c>
      <c r="AM53" s="17"/>
      <c r="AN53" s="56"/>
      <c r="AO53" s="17"/>
    </row>
    <row r="54" spans="2:41">
      <c r="B54" s="83" t="s">
        <v>30</v>
      </c>
      <c r="C54" s="1"/>
      <c r="D54" s="57">
        <f t="shared" si="49"/>
        <v>0.99977740533305282</v>
      </c>
      <c r="E54" s="43"/>
      <c r="F54" s="57">
        <f t="shared" si="49"/>
        <v>0.86375321336760924</v>
      </c>
      <c r="G54" s="45"/>
      <c r="H54" s="57">
        <f t="shared" ref="H54" si="87">H35/H15</f>
        <v>1.0215636347357939</v>
      </c>
      <c r="I54" s="45"/>
      <c r="K54" s="83" t="s">
        <v>30</v>
      </c>
      <c r="L54" s="1"/>
      <c r="M54" s="57">
        <f t="shared" ref="M54" si="88">M35/M15</f>
        <v>0.9034629760631957</v>
      </c>
      <c r="N54" s="43"/>
      <c r="O54" s="143">
        <f t="shared" ref="O54" si="89">O35/O15</f>
        <v>1.0093920740370601</v>
      </c>
      <c r="P54" s="144"/>
      <c r="Q54" s="57">
        <f t="shared" si="53"/>
        <v>0.97690566948262514</v>
      </c>
      <c r="R54" s="45"/>
      <c r="S54" s="57">
        <f t="shared" si="54"/>
        <v>0.99916885446276904</v>
      </c>
      <c r="T54" s="45"/>
      <c r="U54" s="68"/>
      <c r="V54" s="83" t="s">
        <v>30</v>
      </c>
      <c r="W54" s="1"/>
      <c r="X54" s="57">
        <f t="shared" si="55"/>
        <v>1.2512780628542681</v>
      </c>
      <c r="Y54" s="43"/>
      <c r="Z54" s="43"/>
      <c r="AA54" s="43"/>
      <c r="AB54" s="57">
        <f t="shared" si="56"/>
        <v>0.92879746835443033</v>
      </c>
      <c r="AC54" s="45"/>
      <c r="AD54" s="57"/>
      <c r="AE54" s="45"/>
      <c r="AF54" s="68"/>
      <c r="AH54" s="57">
        <f t="shared" si="57"/>
        <v>1.0377832562612828</v>
      </c>
      <c r="AI54" s="43"/>
      <c r="AJ54" s="191">
        <f t="shared" si="57"/>
        <v>0.95458132004405183</v>
      </c>
      <c r="AK54" s="192"/>
      <c r="AL54" s="57">
        <f t="shared" ref="AL54" si="90">AL35/AL15</f>
        <v>0.91939830582813464</v>
      </c>
      <c r="AM54" s="43"/>
      <c r="AN54" s="57"/>
      <c r="AO54" s="43"/>
    </row>
    <row r="55" spans="2:41">
      <c r="B55" s="84" t="s">
        <v>31</v>
      </c>
      <c r="C55" s="1"/>
      <c r="D55" s="57">
        <f t="shared" si="49"/>
        <v>0.96103139302422536</v>
      </c>
      <c r="E55" s="43"/>
      <c r="F55" s="57">
        <f t="shared" si="49"/>
        <v>0.87592627778833365</v>
      </c>
      <c r="G55" s="45"/>
      <c r="H55" s="57">
        <f t="shared" ref="H55" si="91">H36/H16</f>
        <v>1.0534004452002579</v>
      </c>
      <c r="I55" s="45"/>
      <c r="K55" s="84" t="s">
        <v>31</v>
      </c>
      <c r="L55" s="1"/>
      <c r="M55" s="57">
        <f t="shared" ref="M55" si="92">M36/M16</f>
        <v>0.92204426293905284</v>
      </c>
      <c r="N55" s="43"/>
      <c r="O55" s="143">
        <f t="shared" ref="O55" si="93">O36/O16</f>
        <v>0.97625118178029568</v>
      </c>
      <c r="P55" s="144"/>
      <c r="Q55" s="57">
        <f t="shared" si="53"/>
        <v>0.94575110999859358</v>
      </c>
      <c r="R55" s="45"/>
      <c r="S55" s="57">
        <f t="shared" si="54"/>
        <v>0.98452296664136629</v>
      </c>
      <c r="T55" s="45"/>
      <c r="U55" s="68"/>
      <c r="V55" s="84" t="s">
        <v>31</v>
      </c>
      <c r="W55" s="1"/>
      <c r="X55" s="57">
        <f t="shared" si="55"/>
        <v>1.1646077992137172</v>
      </c>
      <c r="Y55" s="43"/>
      <c r="Z55" s="43"/>
      <c r="AA55" s="43"/>
      <c r="AB55" s="57">
        <f t="shared" si="56"/>
        <v>0.94558645707376054</v>
      </c>
      <c r="AC55" s="45"/>
      <c r="AD55" s="57"/>
      <c r="AE55" s="45"/>
      <c r="AF55" s="68"/>
      <c r="AH55" s="57">
        <f t="shared" si="57"/>
        <v>1.0070514756476023</v>
      </c>
      <c r="AI55" s="43"/>
      <c r="AJ55" s="191">
        <f t="shared" si="57"/>
        <v>0.95171294575650633</v>
      </c>
      <c r="AK55" s="192"/>
      <c r="AL55" s="57">
        <f t="shared" ref="AL55" si="94">AL36/AL16</f>
        <v>0.91857104543032109</v>
      </c>
      <c r="AM55" s="43"/>
      <c r="AN55" s="57"/>
      <c r="AO55" s="43"/>
    </row>
  </sheetData>
  <mergeCells count="58">
    <mergeCell ref="Z41:AA41"/>
    <mergeCell ref="AJ41:AK41"/>
    <mergeCell ref="AL41:AM41"/>
    <mergeCell ref="AN41:AO41"/>
    <mergeCell ref="AD22:AE22"/>
    <mergeCell ref="AB41:AC41"/>
    <mergeCell ref="AD41:AE41"/>
    <mergeCell ref="AH41:AI41"/>
    <mergeCell ref="AH2:AI2"/>
    <mergeCell ref="AJ2:AK2"/>
    <mergeCell ref="AN2:AO2"/>
    <mergeCell ref="AL2:AM2"/>
    <mergeCell ref="AH22:AI22"/>
    <mergeCell ref="AJ22:AK22"/>
    <mergeCell ref="AL22:AM22"/>
    <mergeCell ref="AN22:AO22"/>
    <mergeCell ref="B41:C42"/>
    <mergeCell ref="D41:E41"/>
    <mergeCell ref="F41:G41"/>
    <mergeCell ref="H41:I41"/>
    <mergeCell ref="K41:L42"/>
    <mergeCell ref="M41:N41"/>
    <mergeCell ref="O41:P41"/>
    <mergeCell ref="Q41:R41"/>
    <mergeCell ref="V41:W42"/>
    <mergeCell ref="X41:Y41"/>
    <mergeCell ref="S41:T41"/>
    <mergeCell ref="AD2:AE2"/>
    <mergeCell ref="S2:T2"/>
    <mergeCell ref="H22:I22"/>
    <mergeCell ref="F1:I1"/>
    <mergeCell ref="F21:I21"/>
    <mergeCell ref="Q1:T1"/>
    <mergeCell ref="Q21:T21"/>
    <mergeCell ref="S22:T22"/>
    <mergeCell ref="Q2:R2"/>
    <mergeCell ref="Q22:R22"/>
    <mergeCell ref="M2:N2"/>
    <mergeCell ref="O2:P2"/>
    <mergeCell ref="M22:N22"/>
    <mergeCell ref="O22:P22"/>
    <mergeCell ref="V2:W3"/>
    <mergeCell ref="X2:Y2"/>
    <mergeCell ref="B2:C3"/>
    <mergeCell ref="D2:E2"/>
    <mergeCell ref="F2:G2"/>
    <mergeCell ref="K2:L3"/>
    <mergeCell ref="B22:C23"/>
    <mergeCell ref="D22:E22"/>
    <mergeCell ref="F22:G22"/>
    <mergeCell ref="K22:L23"/>
    <mergeCell ref="H2:I2"/>
    <mergeCell ref="AB2:AC2"/>
    <mergeCell ref="V22:W23"/>
    <mergeCell ref="X22:Y22"/>
    <mergeCell ref="AB22:AC22"/>
    <mergeCell ref="Z2:AA2"/>
    <mergeCell ref="Z22:AA2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986E-5A9C-44FB-8E4C-018314F50336}">
  <dimension ref="B1:Y55"/>
  <sheetViews>
    <sheetView showGridLines="0" tabSelected="1" topLeftCell="G1" zoomScale="70" zoomScaleNormal="70" workbookViewId="0">
      <selection activeCell="M14" sqref="M14"/>
    </sheetView>
  </sheetViews>
  <sheetFormatPr defaultRowHeight="14"/>
  <cols>
    <col min="1" max="1" width="5.25" customWidth="1"/>
    <col min="2" max="2" width="23.9140625" customWidth="1"/>
    <col min="3" max="3" width="20.5" customWidth="1"/>
    <col min="4" max="4" width="10.25" customWidth="1"/>
    <col min="5" max="7" width="9" customWidth="1"/>
    <col min="8" max="8" width="11.1640625" customWidth="1"/>
    <col min="9" max="9" width="9.33203125" customWidth="1"/>
    <col min="10" max="10" width="10.08203125" customWidth="1"/>
    <col min="11" max="11" width="11.1640625" customWidth="1"/>
    <col min="12" max="12" width="10.4140625" style="65" customWidth="1"/>
    <col min="15" max="15" width="23.9140625" customWidth="1"/>
    <col min="16" max="16" width="20.5" customWidth="1"/>
    <col min="17" max="17" width="10.25" customWidth="1"/>
    <col min="18" max="20" width="9" customWidth="1"/>
    <col min="21" max="21" width="11.1640625" customWidth="1"/>
    <col min="22" max="22" width="9.33203125" customWidth="1"/>
    <col min="23" max="23" width="10.08203125" customWidth="1"/>
    <col min="24" max="24" width="11.1640625" customWidth="1"/>
    <col min="25" max="25" width="10.4140625" style="65" customWidth="1"/>
  </cols>
  <sheetData>
    <row r="1" spans="2:25" ht="17.5">
      <c r="B1" s="71" t="s">
        <v>20</v>
      </c>
      <c r="H1" s="455" t="s">
        <v>73</v>
      </c>
      <c r="I1" s="455"/>
      <c r="J1" s="455"/>
      <c r="K1" s="455"/>
      <c r="O1" s="71" t="s">
        <v>20</v>
      </c>
      <c r="U1" s="455" t="s">
        <v>73</v>
      </c>
      <c r="V1" s="455"/>
      <c r="W1" s="455"/>
      <c r="X1" s="455"/>
    </row>
    <row r="2" spans="2:25" s="33" customFormat="1" ht="13" customHeight="1">
      <c r="B2" s="441" t="s">
        <v>17</v>
      </c>
      <c r="C2" s="442"/>
      <c r="D2" s="445" t="s">
        <v>96</v>
      </c>
      <c r="E2" s="446"/>
      <c r="F2" s="445" t="s">
        <v>99</v>
      </c>
      <c r="G2" s="446"/>
      <c r="H2" s="447" t="s">
        <v>97</v>
      </c>
      <c r="I2" s="448"/>
      <c r="J2" s="453" t="s">
        <v>100</v>
      </c>
      <c r="K2" s="454"/>
      <c r="L2" s="66"/>
      <c r="O2" s="441" t="s">
        <v>17</v>
      </c>
      <c r="P2" s="442"/>
      <c r="Q2" s="445" t="s">
        <v>197</v>
      </c>
      <c r="R2" s="446"/>
      <c r="S2" s="445" t="s">
        <v>198</v>
      </c>
      <c r="T2" s="446"/>
      <c r="U2" s="447" t="s">
        <v>201</v>
      </c>
      <c r="V2" s="448"/>
      <c r="W2" s="453" t="s">
        <v>202</v>
      </c>
      <c r="X2" s="454"/>
      <c r="Y2" s="66"/>
    </row>
    <row r="3" spans="2:25" s="33" customFormat="1" ht="16.5" customHeight="1">
      <c r="B3" s="443"/>
      <c r="C3" s="444"/>
      <c r="D3" s="87" t="s">
        <v>98</v>
      </c>
      <c r="E3" s="75" t="s">
        <v>26</v>
      </c>
      <c r="F3" s="87" t="s">
        <v>98</v>
      </c>
      <c r="G3" s="75" t="s">
        <v>26</v>
      </c>
      <c r="H3" s="94" t="s">
        <v>98</v>
      </c>
      <c r="I3" s="89" t="s">
        <v>26</v>
      </c>
      <c r="J3" s="87" t="s">
        <v>98</v>
      </c>
      <c r="K3" s="7" t="s">
        <v>12</v>
      </c>
      <c r="L3" s="127" t="s">
        <v>72</v>
      </c>
      <c r="O3" s="443"/>
      <c r="P3" s="444"/>
      <c r="Q3" s="87" t="s">
        <v>199</v>
      </c>
      <c r="R3" s="75" t="s">
        <v>26</v>
      </c>
      <c r="S3" s="87" t="s">
        <v>199</v>
      </c>
      <c r="T3" s="75" t="s">
        <v>26</v>
      </c>
      <c r="U3" s="94" t="s">
        <v>98</v>
      </c>
      <c r="V3" s="89" t="s">
        <v>26</v>
      </c>
      <c r="W3" s="87" t="s">
        <v>98</v>
      </c>
      <c r="X3" s="7" t="s">
        <v>12</v>
      </c>
      <c r="Y3" s="127" t="s">
        <v>72</v>
      </c>
    </row>
    <row r="4" spans="2:25" s="33" customFormat="1" ht="13">
      <c r="B4" s="72" t="s">
        <v>21</v>
      </c>
      <c r="C4" s="21"/>
      <c r="D4" s="22">
        <f>D5+D12</f>
        <v>6746.5162499999997</v>
      </c>
      <c r="E4" s="23">
        <f>'[1]consumption-2022-2025 retrend'!$J$246</f>
        <v>-0.21020030666256684</v>
      </c>
      <c r="F4" s="22">
        <f>F5+F12</f>
        <v>9740.3108520591977</v>
      </c>
      <c r="G4" s="23">
        <f>F4/D4-1</f>
        <v>0.44375415267979212</v>
      </c>
      <c r="H4" s="22">
        <f>H5+H12</f>
        <v>8720</v>
      </c>
      <c r="I4" s="77">
        <f t="shared" ref="I4:I16" si="0">H4/D4-1</f>
        <v>0.29251893523564854</v>
      </c>
      <c r="J4" s="22"/>
      <c r="K4" s="24">
        <f>J4/D4-1</f>
        <v>-1</v>
      </c>
      <c r="L4" s="66">
        <f>J4/H4</f>
        <v>0</v>
      </c>
      <c r="O4" s="72" t="s">
        <v>21</v>
      </c>
      <c r="P4" s="21"/>
      <c r="Q4" s="22">
        <f>Q5+Q12</f>
        <v>5046.34872</v>
      </c>
      <c r="R4" s="23">
        <f>'[1]consumption-2022-2025 retrend'!$K$246</f>
        <v>-0.33262147859991564</v>
      </c>
      <c r="S4" s="22">
        <f>S5+S12</f>
        <v>9542.2223401196043</v>
      </c>
      <c r="T4" s="23">
        <f>S4/Q4-1</f>
        <v>0.89091615930173051</v>
      </c>
      <c r="U4" s="22">
        <f>U5+U12</f>
        <v>6800</v>
      </c>
      <c r="V4" s="77">
        <f>U4/Q4-1</f>
        <v>0.34750893711522979</v>
      </c>
      <c r="W4" s="22"/>
      <c r="X4" s="24">
        <f>W4/Q4-1</f>
        <v>-1</v>
      </c>
      <c r="Y4" s="66">
        <f>W4/U4</f>
        <v>0</v>
      </c>
    </row>
    <row r="5" spans="2:25" s="33" customFormat="1" ht="13">
      <c r="B5" s="73" t="s">
        <v>22</v>
      </c>
      <c r="C5" s="26"/>
      <c r="D5" s="27">
        <f>D6+D7+D10+D11</f>
        <v>5253.9798199999996</v>
      </c>
      <c r="E5" s="28">
        <f>'[1]consumption-2022-2025 retrend'!$J$222</f>
        <v>-0.27746653711072067</v>
      </c>
      <c r="F5" s="27">
        <f>F6+F7+F10+F11</f>
        <v>7334.0048411489179</v>
      </c>
      <c r="G5" s="28">
        <f t="shared" ref="G5:G16" si="1">F5/D5-1</f>
        <v>0.39589512948470329</v>
      </c>
      <c r="H5" s="27">
        <f>H6+H7+H10+H11</f>
        <v>6720</v>
      </c>
      <c r="I5" s="78">
        <f t="shared" si="0"/>
        <v>0.27903041698397701</v>
      </c>
      <c r="J5" s="27"/>
      <c r="K5" s="29">
        <f>J5/D5-1</f>
        <v>-1</v>
      </c>
      <c r="L5" s="66">
        <f t="shared" ref="L5:L16" si="2">J5/H5</f>
        <v>0</v>
      </c>
      <c r="O5" s="73" t="s">
        <v>22</v>
      </c>
      <c r="P5" s="26"/>
      <c r="Q5" s="27">
        <f>Q6+Q7+Q10+Q11</f>
        <v>4613.6160799999998</v>
      </c>
      <c r="R5" s="28">
        <f>'[1]consumption-2022-2025 retrend'!$K$222</f>
        <v>-0.20455406177856184</v>
      </c>
      <c r="S5" s="27">
        <f>S6+S7+S10+S11</f>
        <v>7116.9734041613738</v>
      </c>
      <c r="T5" s="28">
        <f t="shared" ref="T5:T16" si="3">S5/Q5-1</f>
        <v>0.54260200258391977</v>
      </c>
      <c r="U5" s="27">
        <f>U6+U7+U10+U11</f>
        <v>4980</v>
      </c>
      <c r="V5" s="78">
        <f t="shared" ref="V4:V16" si="4">U5/Q5-1</f>
        <v>7.9413612586507254E-2</v>
      </c>
      <c r="W5" s="27"/>
      <c r="X5" s="29">
        <f>W5/Q5-1</f>
        <v>-1</v>
      </c>
      <c r="Y5" s="66">
        <f t="shared" ref="Y5:Y16" si="5">W5/U5</f>
        <v>0</v>
      </c>
    </row>
    <row r="6" spans="2:25" s="33" customFormat="1" ht="13">
      <c r="B6" s="3" t="s">
        <v>5</v>
      </c>
      <c r="C6" s="11" t="s">
        <v>1</v>
      </c>
      <c r="D6" s="8">
        <f>'[1]consumption-2022-2025 retrend'!$J$224</f>
        <v>2692.0084200000001</v>
      </c>
      <c r="E6" s="9">
        <f>'[1]consumption-2022-2025 retrend'!$J$225</f>
        <v>-3.3484248264188943E-2</v>
      </c>
      <c r="F6" s="8">
        <f>'[2]0503 SRI05V3+PB'!$J$85</f>
        <v>3211.5173791921093</v>
      </c>
      <c r="G6" s="9">
        <f t="shared" si="1"/>
        <v>0.19298192209670328</v>
      </c>
      <c r="H6" s="8">
        <v>3100</v>
      </c>
      <c r="I6" s="79">
        <f t="shared" si="0"/>
        <v>0.15155657648351628</v>
      </c>
      <c r="J6" s="8"/>
      <c r="K6" s="9">
        <f>J6/D6-1</f>
        <v>-1</v>
      </c>
      <c r="L6" s="66">
        <f t="shared" si="2"/>
        <v>0</v>
      </c>
      <c r="O6" s="3" t="s">
        <v>5</v>
      </c>
      <c r="P6" s="11" t="s">
        <v>1</v>
      </c>
      <c r="Q6" s="8">
        <f>'[1]consumption-2022-2025 retrend'!$K$224</f>
        <v>1803.1077399999999</v>
      </c>
      <c r="R6" s="9">
        <f>'[1]consumption-2022-2025 retrend'!$K$225</f>
        <v>-0.1518320473788507</v>
      </c>
      <c r="S6" s="8">
        <f>'[3]0503 SRI05V3+PBV2'!$K$85</f>
        <v>2945.917954688729</v>
      </c>
      <c r="T6" s="9">
        <f t="shared" si="3"/>
        <v>0.63380029342491162</v>
      </c>
      <c r="U6" s="8">
        <v>2050</v>
      </c>
      <c r="V6" s="79">
        <f t="shared" si="4"/>
        <v>0.13692596095228349</v>
      </c>
      <c r="W6" s="8"/>
      <c r="X6" s="9">
        <f>W6/Q6-1</f>
        <v>-1</v>
      </c>
      <c r="Y6" s="66">
        <f t="shared" si="5"/>
        <v>0</v>
      </c>
    </row>
    <row r="7" spans="2:25" s="33" customFormat="1" ht="13">
      <c r="B7" s="38" t="s">
        <v>18</v>
      </c>
      <c r="C7" s="4" t="s">
        <v>2</v>
      </c>
      <c r="D7" s="8">
        <f>'[1]consumption-2022-2025 retrend'!$J$227</f>
        <v>1654.4644499999999</v>
      </c>
      <c r="E7" s="10">
        <f>'[1]consumption-2022-2025 retrend'!$J$228</f>
        <v>-0.46266189842281946</v>
      </c>
      <c r="F7" s="8">
        <f>'[2]0503 SRI05V3+PB'!$J$88</f>
        <v>2849.0926892740317</v>
      </c>
      <c r="G7" s="10">
        <f t="shared" si="1"/>
        <v>0.72206340805571978</v>
      </c>
      <c r="H7" s="8">
        <v>2300</v>
      </c>
      <c r="I7" s="80">
        <f t="shared" si="0"/>
        <v>0.39017795154196278</v>
      </c>
      <c r="J7" s="8"/>
      <c r="K7" s="10">
        <f>J7/D7-1</f>
        <v>-1</v>
      </c>
      <c r="L7" s="66">
        <f t="shared" si="2"/>
        <v>0</v>
      </c>
      <c r="O7" s="38" t="s">
        <v>18</v>
      </c>
      <c r="P7" s="4" t="s">
        <v>2</v>
      </c>
      <c r="Q7" s="8">
        <f>'[1]consumption-2022-2025 retrend'!$K$227</f>
        <v>1896.4677899999999</v>
      </c>
      <c r="R7" s="10">
        <f>'[1]consumption-2022-2025 retrend'!$K$228</f>
        <v>-0.35779816231051609</v>
      </c>
      <c r="S7" s="8">
        <f>'[3]0503 SRI05V3+PBV2'!$K$88</f>
        <v>2921.4007035682662</v>
      </c>
      <c r="T7" s="10">
        <f t="shared" si="3"/>
        <v>0.54044309055640039</v>
      </c>
      <c r="U7" s="8">
        <v>1850</v>
      </c>
      <c r="V7" s="80">
        <f t="shared" si="4"/>
        <v>-2.4502282741116321E-2</v>
      </c>
      <c r="W7" s="8"/>
      <c r="X7" s="10">
        <f>W7/Q7-1</f>
        <v>-1</v>
      </c>
      <c r="Y7" s="66">
        <f t="shared" si="5"/>
        <v>0</v>
      </c>
    </row>
    <row r="8" spans="2:25" s="33" customFormat="1" ht="12.5">
      <c r="B8" s="39" t="s">
        <v>27</v>
      </c>
      <c r="C8" s="4"/>
      <c r="D8" s="8">
        <f>'[1]consumption-2022-2025 retrend'!$J$250</f>
        <v>549.34159999999997</v>
      </c>
      <c r="E8" s="41">
        <f>'[1]consumption-2022-2025 retrend'!$J$251</f>
        <v>-0.49323364085255206</v>
      </c>
      <c r="F8" s="8">
        <f>'[2]0503 SRI05V3+PB'!$K$111</f>
        <v>300</v>
      </c>
      <c r="G8" s="41">
        <f t="shared" si="1"/>
        <v>-0.45389171328004285</v>
      </c>
      <c r="H8" s="8">
        <v>400</v>
      </c>
      <c r="I8" s="80"/>
      <c r="J8" s="8"/>
      <c r="K8" s="10"/>
      <c r="L8" s="66"/>
      <c r="O8" s="39" t="s">
        <v>27</v>
      </c>
      <c r="P8" s="4"/>
      <c r="Q8" s="8">
        <f>'[1]consumption-2022-2025 retrend'!$K$250</f>
        <v>431.79264000000001</v>
      </c>
      <c r="R8" s="41">
        <f>'[1]consumption-2022-2025 retrend'!$K$251</f>
        <v>-0.58617769696487598</v>
      </c>
      <c r="S8" s="8">
        <f>'[3]0503 SRI05V3+PBV2'!$K$111</f>
        <v>300</v>
      </c>
      <c r="T8" s="41">
        <f t="shared" si="3"/>
        <v>-0.30522206214538539</v>
      </c>
      <c r="U8" s="8">
        <f>'[3]0625 S2 BOTTOM up &amp; 2026 '!$K$111</f>
        <v>300</v>
      </c>
      <c r="V8" s="80"/>
      <c r="W8" s="8"/>
      <c r="X8" s="10"/>
      <c r="Y8" s="66"/>
    </row>
    <row r="9" spans="2:25" s="33" customFormat="1" ht="13.5">
      <c r="B9" s="76" t="s">
        <v>28</v>
      </c>
      <c r="C9" s="4"/>
      <c r="D9" s="8">
        <f>D7-D8</f>
        <v>1105.12285</v>
      </c>
      <c r="E9" s="41">
        <f>'[1]consumption-2022-2025 retrend'!$J$253</f>
        <v>-0.44605017176901607</v>
      </c>
      <c r="F9" s="8">
        <f>F7-F8</f>
        <v>2549.0926892740317</v>
      </c>
      <c r="G9" s="41">
        <f t="shared" si="1"/>
        <v>1.3066147707234825</v>
      </c>
      <c r="H9" s="8">
        <f>H7-H8</f>
        <v>1900</v>
      </c>
      <c r="I9" s="80">
        <f t="shared" si="0"/>
        <v>0.71926587166304645</v>
      </c>
      <c r="J9" s="8"/>
      <c r="K9" s="10">
        <f t="shared" ref="K9:K16" si="6">J9/D9-1</f>
        <v>-1</v>
      </c>
      <c r="L9" s="66">
        <f t="shared" si="2"/>
        <v>0</v>
      </c>
      <c r="O9" s="76" t="s">
        <v>28</v>
      </c>
      <c r="P9" s="4"/>
      <c r="Q9" s="8">
        <f>Q7-Q8</f>
        <v>1464.67515</v>
      </c>
      <c r="R9" s="41">
        <f>'[1]consumption-2022-2025 retrend'!$K$253</f>
        <v>-0.23301222198767624</v>
      </c>
      <c r="S9" s="8">
        <f>S7-S8</f>
        <v>2621.4007035682662</v>
      </c>
      <c r="T9" s="41">
        <f t="shared" si="3"/>
        <v>0.78974887610284505</v>
      </c>
      <c r="U9" s="8">
        <f>U7-U8</f>
        <v>1550</v>
      </c>
      <c r="V9" s="80">
        <f t="shared" ref="V9:V21" si="7">U9/Q9-1</f>
        <v>5.8255135959669913E-2</v>
      </c>
      <c r="W9" s="8"/>
      <c r="X9" s="10">
        <f t="shared" ref="X9:X16" si="8">W9/Q9-1</f>
        <v>-1</v>
      </c>
      <c r="Y9" s="66">
        <f t="shared" ref="Y9:Y20" si="9">W9/U9</f>
        <v>0</v>
      </c>
    </row>
    <row r="10" spans="2:25" s="33" customFormat="1" ht="13">
      <c r="B10" s="12" t="s">
        <v>7</v>
      </c>
      <c r="C10" s="4" t="s">
        <v>15</v>
      </c>
      <c r="D10" s="8">
        <f>'[1]consumption-2022-2025 retrend'!$J$230</f>
        <v>492.86734000000001</v>
      </c>
      <c r="E10" s="10">
        <f>'[1]consumption-2022-2025 retrend'!$J$231</f>
        <v>-0.3533129869064694</v>
      </c>
      <c r="F10" s="8">
        <f>'[2]0503 SRI05V3+PB'!$J$91</f>
        <v>512.98610650290084</v>
      </c>
      <c r="G10" s="10">
        <f t="shared" si="1"/>
        <v>4.0819841101463084E-2</v>
      </c>
      <c r="H10" s="8">
        <v>560</v>
      </c>
      <c r="I10" s="80">
        <f t="shared" si="0"/>
        <v>0.13620837607133796</v>
      </c>
      <c r="J10" s="8"/>
      <c r="K10" s="10">
        <f t="shared" si="6"/>
        <v>-1</v>
      </c>
      <c r="L10" s="66">
        <f t="shared" si="2"/>
        <v>0</v>
      </c>
      <c r="O10" s="12" t="s">
        <v>7</v>
      </c>
      <c r="P10" s="4" t="s">
        <v>15</v>
      </c>
      <c r="Q10" s="8">
        <f>'[1]consumption-2022-2025 retrend'!$K$230</f>
        <v>353.35318000000001</v>
      </c>
      <c r="R10" s="10">
        <f>'[1]consumption-2022-2025 retrend'!$K$231</f>
        <v>4.7960977232388791E-2</v>
      </c>
      <c r="S10" s="8">
        <f>'[3]0503 SRI05V3+PBV2'!$K$91</f>
        <v>526.951780847431</v>
      </c>
      <c r="T10" s="10">
        <f t="shared" si="3"/>
        <v>0.49128919922959513</v>
      </c>
      <c r="U10" s="8">
        <v>450</v>
      </c>
      <c r="V10" s="80">
        <f t="shared" si="7"/>
        <v>0.27351337265452091</v>
      </c>
      <c r="W10" s="8"/>
      <c r="X10" s="10">
        <f t="shared" si="8"/>
        <v>-1</v>
      </c>
      <c r="Y10" s="66">
        <f t="shared" si="9"/>
        <v>0</v>
      </c>
    </row>
    <row r="11" spans="2:25" s="33" customFormat="1" ht="13">
      <c r="B11" s="12" t="s">
        <v>8</v>
      </c>
      <c r="C11" s="4" t="s">
        <v>3</v>
      </c>
      <c r="D11" s="8">
        <f>'[1]consumption-2022-2025 retrend'!$J$233</f>
        <v>414.63961</v>
      </c>
      <c r="E11" s="9">
        <f>'[1]consumption-2022-2025 retrend'!$J$234</f>
        <v>-0.35734083867688471</v>
      </c>
      <c r="F11" s="8">
        <f>'[2]0503 SRI05V3+PB'!$J$94</f>
        <v>760.40866617987592</v>
      </c>
      <c r="G11" s="9">
        <f t="shared" si="1"/>
        <v>0.83390261769703078</v>
      </c>
      <c r="H11" s="8">
        <v>760</v>
      </c>
      <c r="I11" s="79">
        <f t="shared" si="0"/>
        <v>0.83291702401514423</v>
      </c>
      <c r="J11" s="8"/>
      <c r="K11" s="9">
        <f t="shared" si="6"/>
        <v>-1</v>
      </c>
      <c r="L11" s="66">
        <f t="shared" si="2"/>
        <v>0</v>
      </c>
      <c r="O11" s="12" t="s">
        <v>8</v>
      </c>
      <c r="P11" s="4" t="s">
        <v>3</v>
      </c>
      <c r="Q11" s="8">
        <f>'[1]consumption-2022-2025 retrend'!$K$233</f>
        <v>560.68736999999999</v>
      </c>
      <c r="R11" s="9">
        <f>'[1]consumption-2022-2025 retrend'!$K$234</f>
        <v>0.46050700870304206</v>
      </c>
      <c r="S11" s="8">
        <f>'[3]0503 SRI05V3+PBV2'!$K$94</f>
        <v>722.70296505694739</v>
      </c>
      <c r="T11" s="9">
        <f t="shared" si="3"/>
        <v>0.28895888105513667</v>
      </c>
      <c r="U11" s="8">
        <v>630</v>
      </c>
      <c r="V11" s="79">
        <f t="shared" si="7"/>
        <v>0.12362081564277072</v>
      </c>
      <c r="W11" s="8"/>
      <c r="X11" s="9">
        <f t="shared" si="8"/>
        <v>-1</v>
      </c>
      <c r="Y11" s="66">
        <f t="shared" si="9"/>
        <v>0</v>
      </c>
    </row>
    <row r="12" spans="2:25" s="33" customFormat="1" ht="13">
      <c r="B12" s="74" t="s">
        <v>23</v>
      </c>
      <c r="C12" s="30"/>
      <c r="D12" s="27">
        <f>D13+D14</f>
        <v>1492.5364300000001</v>
      </c>
      <c r="E12" s="29">
        <f>'[1]consumption-2022-2025 retrend'!$J$237</f>
        <v>0.17480718381977622</v>
      </c>
      <c r="F12" s="27">
        <f>F13+F14</f>
        <v>2406.3060109102798</v>
      </c>
      <c r="G12" s="29">
        <f t="shared" si="1"/>
        <v>0.61222598158644592</v>
      </c>
      <c r="H12" s="27">
        <f>H13+H14</f>
        <v>2000</v>
      </c>
      <c r="I12" s="81">
        <f t="shared" si="0"/>
        <v>0.34000079314646947</v>
      </c>
      <c r="J12" s="27"/>
      <c r="K12" s="31">
        <f t="shared" si="6"/>
        <v>-1</v>
      </c>
      <c r="L12" s="66">
        <f t="shared" si="2"/>
        <v>0</v>
      </c>
      <c r="O12" s="74" t="s">
        <v>23</v>
      </c>
      <c r="P12" s="30"/>
      <c r="Q12" s="27">
        <f>Q13+Q14</f>
        <v>432.73264</v>
      </c>
      <c r="R12" s="29">
        <f>'[1]consumption-2022-2025 retrend'!$K$237</f>
        <v>-0.75432625682815913</v>
      </c>
      <c r="S12" s="27">
        <f>S13+S14</f>
        <v>2425.24893595823</v>
      </c>
      <c r="T12" s="29">
        <f t="shared" si="3"/>
        <v>4.604497354205197</v>
      </c>
      <c r="U12" s="27">
        <f>U13+U14</f>
        <v>1820</v>
      </c>
      <c r="V12" s="81">
        <f t="shared" si="7"/>
        <v>3.205830186509619</v>
      </c>
      <c r="W12" s="27"/>
      <c r="X12" s="31">
        <f t="shared" si="8"/>
        <v>-1</v>
      </c>
      <c r="Y12" s="66">
        <f t="shared" si="9"/>
        <v>0</v>
      </c>
    </row>
    <row r="13" spans="2:25" s="33" customFormat="1" ht="13">
      <c r="B13" s="12" t="s">
        <v>9</v>
      </c>
      <c r="C13" s="4" t="s">
        <v>0</v>
      </c>
      <c r="D13" s="15">
        <f>'[1]consumption-2022-2025 retrend'!$J$239</f>
        <v>949.57078000000001</v>
      </c>
      <c r="E13" s="9">
        <f>'[1]consumption-2022-2025 retrend'!$J$240</f>
        <v>0.30360609050437315</v>
      </c>
      <c r="F13" s="15">
        <f>'[2]0503 SRI05V3+PB'!$J$100</f>
        <v>1729.2965692260373</v>
      </c>
      <c r="G13" s="9">
        <f t="shared" si="1"/>
        <v>0.82113498608922786</v>
      </c>
      <c r="H13" s="8">
        <v>1500</v>
      </c>
      <c r="I13" s="80">
        <f t="shared" si="0"/>
        <v>0.57966107592316596</v>
      </c>
      <c r="J13" s="8"/>
      <c r="K13" s="10">
        <f t="shared" si="6"/>
        <v>-1</v>
      </c>
      <c r="L13" s="66">
        <f t="shared" si="2"/>
        <v>0</v>
      </c>
      <c r="O13" s="12" t="s">
        <v>9</v>
      </c>
      <c r="P13" s="4" t="s">
        <v>0</v>
      </c>
      <c r="Q13" s="15">
        <f>'[1]consumption-2022-2025 retrend'!$K$239</f>
        <v>89.013199999999998</v>
      </c>
      <c r="R13" s="9">
        <f>'[1]consumption-2022-2025 retrend'!$K$240</f>
        <v>-0.9235093524006609</v>
      </c>
      <c r="S13" s="15">
        <f>'[3]0503 SRI05V3+PBV2'!$K$100</f>
        <v>1724.8752395137431</v>
      </c>
      <c r="T13" s="9">
        <f t="shared" si="3"/>
        <v>18.377746665817465</v>
      </c>
      <c r="U13" s="8">
        <v>1400</v>
      </c>
      <c r="V13" s="80">
        <f t="shared" si="7"/>
        <v>14.728004385866367</v>
      </c>
      <c r="W13" s="8"/>
      <c r="X13" s="10">
        <f t="shared" si="8"/>
        <v>-1</v>
      </c>
      <c r="Y13" s="66">
        <f t="shared" si="9"/>
        <v>0</v>
      </c>
    </row>
    <row r="14" spans="2:25" s="33" customFormat="1" ht="13">
      <c r="B14" s="13" t="s">
        <v>10</v>
      </c>
      <c r="C14" s="14" t="s">
        <v>4</v>
      </c>
      <c r="D14" s="16">
        <f>'[1]consumption-2022-2025 retrend'!$J$242</f>
        <v>542.96564999999998</v>
      </c>
      <c r="E14" s="17">
        <f>'[1]consumption-2022-2025 retrend'!$J$243</f>
        <v>1.7192471553790778E-3</v>
      </c>
      <c r="F14" s="16">
        <f>'[2]0503 SRI05V3+PB'!$J$103</f>
        <v>677.00944168424235</v>
      </c>
      <c r="G14" s="17">
        <f t="shared" si="1"/>
        <v>0.24687342870445361</v>
      </c>
      <c r="H14" s="18">
        <v>500</v>
      </c>
      <c r="I14" s="82">
        <f t="shared" si="0"/>
        <v>-7.9131433084210778E-2</v>
      </c>
      <c r="J14" s="18"/>
      <c r="K14" s="19">
        <f t="shared" si="6"/>
        <v>-1</v>
      </c>
      <c r="L14" s="66">
        <f t="shared" si="2"/>
        <v>0</v>
      </c>
      <c r="O14" s="13" t="s">
        <v>10</v>
      </c>
      <c r="P14" s="14" t="s">
        <v>4</v>
      </c>
      <c r="Q14" s="16">
        <f>'[1]consumption-2022-2025 retrend'!$K$242</f>
        <v>343.71944000000002</v>
      </c>
      <c r="R14" s="17">
        <f>'[1]consumption-2022-2025 retrend'!$K$243</f>
        <v>-0.42492822424315679</v>
      </c>
      <c r="S14" s="16">
        <f>'[3]0503 SRI05V3+PBV2'!$K$103</f>
        <v>700.37369644448711</v>
      </c>
      <c r="T14" s="17">
        <f t="shared" si="3"/>
        <v>1.0376319024739686</v>
      </c>
      <c r="U14" s="18">
        <v>420</v>
      </c>
      <c r="V14" s="82">
        <f t="shared" si="7"/>
        <v>0.22192681333357211</v>
      </c>
      <c r="W14" s="18"/>
      <c r="X14" s="19">
        <f t="shared" si="8"/>
        <v>-1</v>
      </c>
      <c r="Y14" s="66">
        <f t="shared" si="9"/>
        <v>0</v>
      </c>
    </row>
    <row r="15" spans="2:25" s="33" customFormat="1" ht="13">
      <c r="B15" s="83" t="s">
        <v>30</v>
      </c>
      <c r="C15" s="1"/>
      <c r="D15" s="42">
        <f>D5-D8</f>
        <v>4704.6382199999998</v>
      </c>
      <c r="E15" s="43">
        <f>'[1]consumption-2022-2025 retrend'!$J$255</f>
        <v>-0.23966598616791912</v>
      </c>
      <c r="F15" s="42">
        <f>F5-F8</f>
        <v>7034.0048411489179</v>
      </c>
      <c r="G15" s="43">
        <f t="shared" si="1"/>
        <v>0.49512130629864215</v>
      </c>
      <c r="H15" s="42">
        <f>H5-H8</f>
        <v>6320</v>
      </c>
      <c r="I15" s="45">
        <f t="shared" si="0"/>
        <v>0.34335515388471261</v>
      </c>
      <c r="J15" s="42"/>
      <c r="K15" s="45">
        <f t="shared" si="6"/>
        <v>-1</v>
      </c>
      <c r="L15" s="66">
        <f t="shared" si="2"/>
        <v>0</v>
      </c>
      <c r="O15" s="83" t="s">
        <v>30</v>
      </c>
      <c r="P15" s="1"/>
      <c r="Q15" s="42">
        <f>Q5-Q8</f>
        <v>4181.8234400000001</v>
      </c>
      <c r="R15" s="43">
        <f>'[1]consumption-2022-2025 retrend'!$K$255</f>
        <v>-0.12083991059005872</v>
      </c>
      <c r="S15" s="42">
        <f>S5-S8</f>
        <v>6816.9734041613738</v>
      </c>
      <c r="T15" s="43">
        <f t="shared" si="3"/>
        <v>0.63014376430999519</v>
      </c>
      <c r="U15" s="42">
        <f>U5-U8</f>
        <v>4680</v>
      </c>
      <c r="V15" s="45">
        <f t="shared" si="7"/>
        <v>0.11912902759950095</v>
      </c>
      <c r="W15" s="42"/>
      <c r="X15" s="45">
        <f t="shared" si="8"/>
        <v>-1</v>
      </c>
      <c r="Y15" s="66">
        <f t="shared" si="9"/>
        <v>0</v>
      </c>
    </row>
    <row r="16" spans="2:25" s="33" customFormat="1" ht="13">
      <c r="B16" s="84" t="s">
        <v>31</v>
      </c>
      <c r="C16" s="1"/>
      <c r="D16" s="42">
        <f>D4-D8</f>
        <v>6197.1746499999999</v>
      </c>
      <c r="E16" s="43">
        <f>'[1]consumption-2022-2025 retrend'!$J$257</f>
        <v>-0.16906192309371959</v>
      </c>
      <c r="F16" s="42">
        <f>F4-F8</f>
        <v>9440.3108520591977</v>
      </c>
      <c r="G16" s="43">
        <f t="shared" si="1"/>
        <v>0.52332496423337016</v>
      </c>
      <c r="H16" s="42">
        <f>H4-H8</f>
        <v>8320</v>
      </c>
      <c r="I16" s="45">
        <f t="shared" si="0"/>
        <v>0.34254728483406538</v>
      </c>
      <c r="J16" s="42"/>
      <c r="K16" s="45">
        <f t="shared" si="6"/>
        <v>-1</v>
      </c>
      <c r="L16" s="66">
        <f t="shared" si="2"/>
        <v>0</v>
      </c>
      <c r="O16" s="84" t="s">
        <v>31</v>
      </c>
      <c r="P16" s="1"/>
      <c r="Q16" s="42">
        <f>Q4-Q8</f>
        <v>4614.5560800000003</v>
      </c>
      <c r="R16" s="43">
        <f>'[1]consumption-2022-2025 retrend'!$K$257</f>
        <v>-0.29203142145605998</v>
      </c>
      <c r="S16" s="42">
        <f>S4-S8</f>
        <v>9242.2223401196043</v>
      </c>
      <c r="T16" s="43">
        <f t="shared" si="3"/>
        <v>1.0028410490396737</v>
      </c>
      <c r="U16" s="42">
        <f>U4-U8</f>
        <v>6500</v>
      </c>
      <c r="V16" s="45">
        <f t="shared" si="7"/>
        <v>0.40858619709309063</v>
      </c>
      <c r="W16" s="42"/>
      <c r="X16" s="45">
        <f t="shared" si="8"/>
        <v>-1</v>
      </c>
      <c r="Y16" s="66">
        <f t="shared" si="9"/>
        <v>0</v>
      </c>
    </row>
    <row r="17" spans="2:25" s="33" customFormat="1" ht="12.5">
      <c r="L17" s="66"/>
      <c r="Y17" s="66"/>
    </row>
    <row r="18" spans="2:25" s="33" customFormat="1" ht="12.5">
      <c r="B18" s="172"/>
      <c r="H18" s="173"/>
      <c r="I18" s="193"/>
      <c r="L18" s="66"/>
      <c r="O18" s="172"/>
      <c r="U18" s="173"/>
      <c r="V18" s="193"/>
      <c r="Y18" s="66"/>
    </row>
    <row r="19" spans="2:25">
      <c r="B19" s="5"/>
      <c r="C19" s="1"/>
      <c r="D19" s="42"/>
      <c r="E19" s="43"/>
      <c r="F19" s="43"/>
      <c r="G19" s="43"/>
      <c r="H19" s="45"/>
      <c r="I19" s="45"/>
      <c r="J19" s="45"/>
      <c r="K19" s="45"/>
      <c r="O19" s="5"/>
      <c r="P19" s="1"/>
      <c r="Q19" s="42"/>
      <c r="R19" s="43"/>
      <c r="S19" s="43"/>
      <c r="T19" s="43"/>
      <c r="U19" s="45"/>
      <c r="V19" s="45"/>
      <c r="W19" s="45"/>
      <c r="X19" s="45"/>
    </row>
    <row r="21" spans="2:25" ht="17.5">
      <c r="B21" s="71" t="s">
        <v>42</v>
      </c>
      <c r="H21" s="455" t="s">
        <v>73</v>
      </c>
      <c r="I21" s="455"/>
      <c r="J21" s="455"/>
      <c r="K21" s="455"/>
      <c r="O21" s="71" t="s">
        <v>42</v>
      </c>
      <c r="U21" s="455" t="s">
        <v>73</v>
      </c>
      <c r="V21" s="455"/>
      <c r="W21" s="455"/>
      <c r="X21" s="455"/>
    </row>
    <row r="22" spans="2:25" s="33" customFormat="1" ht="15" customHeight="1">
      <c r="B22" s="441" t="s">
        <v>17</v>
      </c>
      <c r="C22" s="442"/>
      <c r="D22" s="445" t="s">
        <v>96</v>
      </c>
      <c r="E22" s="446"/>
      <c r="F22" s="445" t="s">
        <v>99</v>
      </c>
      <c r="G22" s="446"/>
      <c r="H22" s="447" t="s">
        <v>97</v>
      </c>
      <c r="I22" s="448"/>
      <c r="J22" s="453" t="s">
        <v>100</v>
      </c>
      <c r="K22" s="454"/>
      <c r="L22" s="66"/>
      <c r="O22" s="441" t="s">
        <v>17</v>
      </c>
      <c r="P22" s="442"/>
      <c r="Q22" s="445" t="s">
        <v>197</v>
      </c>
      <c r="R22" s="446"/>
      <c r="S22" s="445" t="s">
        <v>198</v>
      </c>
      <c r="T22" s="446"/>
      <c r="U22" s="447" t="s">
        <v>201</v>
      </c>
      <c r="V22" s="448"/>
      <c r="W22" s="453" t="s">
        <v>202</v>
      </c>
      <c r="X22" s="454"/>
      <c r="Y22" s="66"/>
    </row>
    <row r="23" spans="2:25" s="33" customFormat="1" ht="12.5" customHeight="1">
      <c r="B23" s="443"/>
      <c r="C23" s="444"/>
      <c r="D23" s="87" t="s">
        <v>102</v>
      </c>
      <c r="E23" s="75" t="s">
        <v>26</v>
      </c>
      <c r="F23" s="87" t="s">
        <v>102</v>
      </c>
      <c r="G23" s="75" t="s">
        <v>26</v>
      </c>
      <c r="H23" s="94" t="s">
        <v>101</v>
      </c>
      <c r="I23" s="89" t="s">
        <v>56</v>
      </c>
      <c r="J23" s="87" t="s">
        <v>102</v>
      </c>
      <c r="K23" s="7" t="s">
        <v>12</v>
      </c>
      <c r="L23" s="127" t="s">
        <v>72</v>
      </c>
      <c r="O23" s="443"/>
      <c r="P23" s="444"/>
      <c r="Q23" s="87" t="s">
        <v>200</v>
      </c>
      <c r="R23" s="75" t="s">
        <v>26</v>
      </c>
      <c r="S23" s="87" t="s">
        <v>200</v>
      </c>
      <c r="T23" s="75" t="s">
        <v>26</v>
      </c>
      <c r="U23" s="94" t="s">
        <v>101</v>
      </c>
      <c r="V23" s="89" t="s">
        <v>56</v>
      </c>
      <c r="W23" s="87" t="s">
        <v>102</v>
      </c>
      <c r="X23" s="7" t="s">
        <v>12</v>
      </c>
      <c r="Y23" s="127" t="s">
        <v>72</v>
      </c>
    </row>
    <row r="24" spans="2:25" s="33" customFormat="1" ht="12.5">
      <c r="B24" s="20" t="s">
        <v>13</v>
      </c>
      <c r="C24" s="21"/>
      <c r="D24" s="22">
        <f>D25+D32</f>
        <v>5922.4403399999992</v>
      </c>
      <c r="E24" s="23">
        <f>'[1]billing 2022-2025 retrend'!$J$246</f>
        <v>-0.2670784984891047</v>
      </c>
      <c r="F24" s="22">
        <f>F25+F32</f>
        <v>9853.2953094562363</v>
      </c>
      <c r="G24" s="23">
        <f>F24/D24-1</f>
        <v>0.66372217258270227</v>
      </c>
      <c r="H24" s="22">
        <f>H25+H32</f>
        <v>8073</v>
      </c>
      <c r="I24" s="24">
        <f t="shared" ref="I24:I36" si="10">H24/D24-1</f>
        <v>0.36312052744122725</v>
      </c>
      <c r="J24" s="22">
        <f>J25+J32</f>
        <v>0</v>
      </c>
      <c r="K24" s="24">
        <f>J24/D24-1</f>
        <v>-1</v>
      </c>
      <c r="L24" s="66">
        <f>J24/H24</f>
        <v>0</v>
      </c>
      <c r="O24" s="20" t="s">
        <v>13</v>
      </c>
      <c r="P24" s="21"/>
      <c r="Q24" s="22">
        <f>Q25+Q32</f>
        <v>4210.3572800000002</v>
      </c>
      <c r="R24" s="23">
        <f>'[1]billing 2022-2025 retrend'!$K$246</f>
        <v>-0.26307084424907445</v>
      </c>
      <c r="S24" s="22">
        <f>S25+S32</f>
        <v>9680.1112231136231</v>
      </c>
      <c r="T24" s="23">
        <f>S24/Q24-1</f>
        <v>1.2991187159094544</v>
      </c>
      <c r="U24" s="22">
        <f>U25+U32</f>
        <v>6498</v>
      </c>
      <c r="V24" s="24">
        <f t="shared" ref="V24:V36" si="11">U24/Q24-1</f>
        <v>0.54333695880554811</v>
      </c>
      <c r="W24" s="22">
        <f>W25+W32</f>
        <v>0</v>
      </c>
      <c r="X24" s="24">
        <f>W24/Q24-1</f>
        <v>-1</v>
      </c>
      <c r="Y24" s="66">
        <f>W24/U24</f>
        <v>0</v>
      </c>
    </row>
    <row r="25" spans="2:25" s="33" customFormat="1" ht="12.5">
      <c r="B25" s="25" t="s">
        <v>14</v>
      </c>
      <c r="C25" s="26"/>
      <c r="D25" s="27">
        <f>D26+D27+D30+D31</f>
        <v>4708.9560199999996</v>
      </c>
      <c r="E25" s="28">
        <f>'[1]billing 2022-2025 retrend'!$J$222</f>
        <v>-0.32565842490744268</v>
      </c>
      <c r="F25" s="27">
        <f>F26+F27+F30+F31</f>
        <v>6967.3045990914716</v>
      </c>
      <c r="G25" s="28">
        <f t="shared" ref="G25:G36" si="12">F25/D25-1</f>
        <v>0.47958582953413775</v>
      </c>
      <c r="H25" s="27">
        <f>H26+H27+H30+H31</f>
        <v>6623</v>
      </c>
      <c r="I25" s="29">
        <f t="shared" si="10"/>
        <v>0.40646885888732531</v>
      </c>
      <c r="J25" s="27">
        <f>J26+J27+J30+J31</f>
        <v>0</v>
      </c>
      <c r="K25" s="29">
        <f>J25/D25-1</f>
        <v>-1</v>
      </c>
      <c r="L25" s="66">
        <f t="shared" ref="L25:L36" si="13">J25/H25</f>
        <v>0</v>
      </c>
      <c r="O25" s="25" t="s">
        <v>14</v>
      </c>
      <c r="P25" s="26"/>
      <c r="Q25" s="27">
        <f>Q26+Q27+Q30+Q31</f>
        <v>3843.1631300000004</v>
      </c>
      <c r="R25" s="28">
        <f>'[1]billing 2022-2025 retrend'!$K$222</f>
        <v>-5.3361015925205812E-2</v>
      </c>
      <c r="S25" s="27">
        <f>S26+S27+S30+S31</f>
        <v>6576.1247339533038</v>
      </c>
      <c r="T25" s="28">
        <f t="shared" ref="T25:T36" si="14">S25/Q25-1</f>
        <v>0.71112297644084221</v>
      </c>
      <c r="U25" s="27">
        <f>U26+U27+U30+U31</f>
        <v>4748</v>
      </c>
      <c r="V25" s="29">
        <f t="shared" si="11"/>
        <v>0.23544066160938626</v>
      </c>
      <c r="W25" s="27">
        <f>W26+W27+W30+W31</f>
        <v>0</v>
      </c>
      <c r="X25" s="29">
        <f>W25/Q25-1</f>
        <v>-1</v>
      </c>
      <c r="Y25" s="66">
        <f t="shared" ref="Y25:Y36" si="15">W25/U25</f>
        <v>0</v>
      </c>
    </row>
    <row r="26" spans="2:25" s="33" customFormat="1" ht="13">
      <c r="B26" s="3" t="s">
        <v>5</v>
      </c>
      <c r="C26" s="11" t="s">
        <v>1</v>
      </c>
      <c r="D26" s="8">
        <f>'[1]billing 2022-2025 retrend'!$J$224</f>
        <v>2470.7524199999998</v>
      </c>
      <c r="E26" s="9">
        <f>'[1]billing 2022-2025 retrend'!$J$225</f>
        <v>5.632498435747002E-2</v>
      </c>
      <c r="F26" s="8">
        <f>'[2]0503 SRI05V3+PB'!$J$175</f>
        <v>3050.9415102325038</v>
      </c>
      <c r="G26" s="9">
        <f t="shared" si="12"/>
        <v>0.23482283596529019</v>
      </c>
      <c r="H26" s="8">
        <v>3051</v>
      </c>
      <c r="I26" s="9">
        <f t="shared" si="10"/>
        <v>0.23484650882179459</v>
      </c>
      <c r="J26" s="8"/>
      <c r="K26" s="9">
        <f>J26/D26-1</f>
        <v>-1</v>
      </c>
      <c r="L26" s="66">
        <f t="shared" si="13"/>
        <v>0</v>
      </c>
      <c r="O26" s="3" t="s">
        <v>5</v>
      </c>
      <c r="P26" s="11" t="s">
        <v>1</v>
      </c>
      <c r="Q26" s="8">
        <f>'[1]billing 2022-2025 retrend'!$K$224</f>
        <v>1228.4357199999999</v>
      </c>
      <c r="R26" s="9">
        <f>'[1]billing 2022-2025 retrend'!$K$225</f>
        <v>-4.8207773269663745E-2</v>
      </c>
      <c r="S26" s="8">
        <f>'[3]0503 SRI05V3+PBV2'!$K$175</f>
        <v>2798.6220569542925</v>
      </c>
      <c r="T26" s="9">
        <f t="shared" si="14"/>
        <v>1.2781998369066412</v>
      </c>
      <c r="U26" s="8">
        <v>2000</v>
      </c>
      <c r="V26" s="9">
        <f t="shared" si="11"/>
        <v>0.62808681597112792</v>
      </c>
      <c r="W26" s="8"/>
      <c r="X26" s="9">
        <f>W26/Q26-1</f>
        <v>-1</v>
      </c>
      <c r="Y26" s="66">
        <f t="shared" si="15"/>
        <v>0</v>
      </c>
    </row>
    <row r="27" spans="2:25" s="33" customFormat="1" ht="13">
      <c r="B27" s="12" t="s">
        <v>6</v>
      </c>
      <c r="C27" s="4" t="s">
        <v>2</v>
      </c>
      <c r="D27" s="8">
        <f>'[1]billing 2022-2025 retrend'!$J$227</f>
        <v>1417.42562</v>
      </c>
      <c r="E27" s="10">
        <f>'[1]billing 2022-2025 retrend'!$J$228</f>
        <v>-0.57626766583101463</v>
      </c>
      <c r="F27" s="8">
        <f>'[2]0503 SRI05V3+PB'!$J$178</f>
        <v>2706.6380548103302</v>
      </c>
      <c r="G27" s="10">
        <f t="shared" si="12"/>
        <v>0.90954503475838844</v>
      </c>
      <c r="H27" s="8">
        <v>2300</v>
      </c>
      <c r="I27" s="10">
        <f t="shared" si="10"/>
        <v>0.62266010120516935</v>
      </c>
      <c r="J27" s="8"/>
      <c r="K27" s="10">
        <f>J27/D27-1</f>
        <v>-1</v>
      </c>
      <c r="L27" s="66">
        <f t="shared" si="13"/>
        <v>0</v>
      </c>
      <c r="O27" s="12" t="s">
        <v>6</v>
      </c>
      <c r="P27" s="4" t="s">
        <v>2</v>
      </c>
      <c r="Q27" s="8">
        <f>'[1]billing 2022-2025 retrend'!$K$227</f>
        <v>1777.1278500000001</v>
      </c>
      <c r="R27" s="10">
        <f>'[1]billing 2022-2025 retrend'!$K$228</f>
        <v>-0.22420342522855008</v>
      </c>
      <c r="S27" s="8">
        <f>'[3]0503 SRI05V3+PBV2'!$K$178</f>
        <v>2775.3306683898527</v>
      </c>
      <c r="T27" s="10">
        <f t="shared" si="14"/>
        <v>0.56169443205217484</v>
      </c>
      <c r="U27" s="8">
        <v>1778</v>
      </c>
      <c r="V27" s="10">
        <f t="shared" si="11"/>
        <v>4.9076379057355624E-4</v>
      </c>
      <c r="W27" s="8"/>
      <c r="X27" s="10">
        <f>W27/Q27-1</f>
        <v>-1</v>
      </c>
      <c r="Y27" s="66">
        <f t="shared" si="15"/>
        <v>0</v>
      </c>
    </row>
    <row r="28" spans="2:25" s="33" customFormat="1" ht="12.5">
      <c r="B28" s="39" t="s">
        <v>11</v>
      </c>
      <c r="C28" s="39"/>
      <c r="D28" s="40">
        <f>'[1]billing 2022-2025 retrend'!$J$250</f>
        <v>547.49599999999998</v>
      </c>
      <c r="E28" s="41">
        <f>'[1]billing 2022-2025 retrend'!$J$251</f>
        <v>-0.54783642691870416</v>
      </c>
      <c r="F28" s="8">
        <f>'[2]0503 SRI05V3+PB'!$J$201</f>
        <v>454.89940000000001</v>
      </c>
      <c r="G28" s="41">
        <f t="shared" si="12"/>
        <v>-0.1691274456799684</v>
      </c>
      <c r="H28" s="40">
        <v>455</v>
      </c>
      <c r="I28" s="41"/>
      <c r="J28" s="8"/>
      <c r="K28" s="10"/>
      <c r="L28" s="66"/>
      <c r="O28" s="39" t="s">
        <v>11</v>
      </c>
      <c r="P28" s="39"/>
      <c r="Q28" s="40">
        <f>'[1]billing 2022-2025 retrend'!$K$250</f>
        <v>462.36520000000002</v>
      </c>
      <c r="R28" s="41">
        <f>'[1]billing 2022-2025 retrend'!$K$251</f>
        <v>-0.47504391899218101</v>
      </c>
      <c r="S28" s="8">
        <f>S8</f>
        <v>300</v>
      </c>
      <c r="T28" s="41">
        <f t="shared" si="14"/>
        <v>-0.35116224144896724</v>
      </c>
      <c r="U28" s="40">
        <f>'[3]0625 S2 BOTTOM up &amp; 2026 '!$K$201</f>
        <v>300</v>
      </c>
      <c r="V28" s="41"/>
      <c r="W28" s="8"/>
      <c r="X28" s="10"/>
      <c r="Y28" s="66"/>
    </row>
    <row r="29" spans="2:25" s="33" customFormat="1" ht="13.5">
      <c r="B29" s="39" t="s">
        <v>19</v>
      </c>
      <c r="C29" s="39"/>
      <c r="D29" s="40">
        <f>D27-D28</f>
        <v>869.92962</v>
      </c>
      <c r="E29" s="41">
        <f>'[1]billing 2022-2025 retrend'!$J$253</f>
        <v>-0.59239764225222136</v>
      </c>
      <c r="F29" s="8">
        <f>F27-F28</f>
        <v>2251.7386548103304</v>
      </c>
      <c r="G29" s="41">
        <f t="shared" si="12"/>
        <v>1.5884147441839382</v>
      </c>
      <c r="H29" s="40">
        <f>H27-H28</f>
        <v>1845</v>
      </c>
      <c r="I29" s="41">
        <f t="shared" si="10"/>
        <v>1.120861225532245</v>
      </c>
      <c r="J29" s="8"/>
      <c r="K29" s="10">
        <f t="shared" ref="K29:K36" si="16">J29/D29-1</f>
        <v>-1</v>
      </c>
      <c r="L29" s="66">
        <f t="shared" si="13"/>
        <v>0</v>
      </c>
      <c r="O29" s="39" t="s">
        <v>19</v>
      </c>
      <c r="P29" s="39"/>
      <c r="Q29" s="40">
        <f>Q27-Q28</f>
        <v>1314.7626500000001</v>
      </c>
      <c r="R29" s="41">
        <f>'[1]billing 2022-2025 retrend'!$K$253</f>
        <v>-6.7507455843595632E-2</v>
      </c>
      <c r="S29" s="8">
        <f>S27-S28</f>
        <v>2475.3306683898527</v>
      </c>
      <c r="T29" s="41">
        <f t="shared" si="14"/>
        <v>0.8827205567406804</v>
      </c>
      <c r="U29" s="40">
        <f>U27-U28</f>
        <v>1478</v>
      </c>
      <c r="V29" s="41">
        <f t="shared" ref="V29:V41" si="17">U29/Q29-1</f>
        <v>0.12415727660045706</v>
      </c>
      <c r="W29" s="8"/>
      <c r="X29" s="10">
        <f t="shared" ref="X29:X36" si="18">W29/Q29-1</f>
        <v>-1</v>
      </c>
      <c r="Y29" s="66">
        <f t="shared" ref="Y29:Y40" si="19">W29/U29</f>
        <v>0</v>
      </c>
    </row>
    <row r="30" spans="2:25" s="33" customFormat="1" ht="13">
      <c r="B30" s="12" t="s">
        <v>7</v>
      </c>
      <c r="C30" s="4" t="s">
        <v>15</v>
      </c>
      <c r="D30" s="8">
        <f>'[1]billing 2022-2025 retrend'!$J$230</f>
        <v>463.28784999999999</v>
      </c>
      <c r="E30" s="10">
        <f>'[1]billing 2022-2025 retrend'!$J$231</f>
        <v>-0.32569192074627329</v>
      </c>
      <c r="F30" s="8">
        <f>'[2]0503 SRI05V3+PB'!$J$181</f>
        <v>487.33680117775577</v>
      </c>
      <c r="G30" s="10">
        <f t="shared" si="12"/>
        <v>5.1909306876396055E-2</v>
      </c>
      <c r="H30" s="8">
        <v>550</v>
      </c>
      <c r="I30" s="10">
        <f t="shared" si="10"/>
        <v>0.18716689850597201</v>
      </c>
      <c r="J30" s="8"/>
      <c r="K30" s="10">
        <f t="shared" si="16"/>
        <v>-1</v>
      </c>
      <c r="L30" s="66">
        <f t="shared" si="13"/>
        <v>0</v>
      </c>
      <c r="O30" s="12" t="s">
        <v>7</v>
      </c>
      <c r="P30" s="4" t="s">
        <v>15</v>
      </c>
      <c r="Q30" s="8">
        <f>'[1]billing 2022-2025 retrend'!$K$230</f>
        <v>307.25839999999999</v>
      </c>
      <c r="R30" s="10">
        <f>'[1]billing 2022-2025 retrend'!$K$231</f>
        <v>0.70417704143319315</v>
      </c>
      <c r="S30" s="8">
        <f>'[3]0503 SRI05V3+PBV2'!$K$181</f>
        <v>315.60419180505943</v>
      </c>
      <c r="T30" s="10">
        <f t="shared" si="14"/>
        <v>2.7162127398500546E-2</v>
      </c>
      <c r="U30" s="8">
        <v>410</v>
      </c>
      <c r="V30" s="10">
        <f t="shared" si="17"/>
        <v>0.33438174513699215</v>
      </c>
      <c r="W30" s="8"/>
      <c r="X30" s="10">
        <f t="shared" si="18"/>
        <v>-1</v>
      </c>
      <c r="Y30" s="66">
        <f t="shared" si="19"/>
        <v>0</v>
      </c>
    </row>
    <row r="31" spans="2:25" s="33" customFormat="1" ht="13">
      <c r="B31" s="12" t="s">
        <v>8</v>
      </c>
      <c r="C31" s="4" t="s">
        <v>3</v>
      </c>
      <c r="D31" s="8">
        <f>'[1]billing 2022-2025 retrend'!$J$233</f>
        <v>357.49013000000002</v>
      </c>
      <c r="E31" s="9">
        <f>'[1]billing 2022-2025 retrend'!$J$234</f>
        <v>-0.41575272207504854</v>
      </c>
      <c r="F31" s="8">
        <f>'[2]0503 SRI05V3+PB'!$J$184</f>
        <v>722.38823287088212</v>
      </c>
      <c r="G31" s="9">
        <f t="shared" si="12"/>
        <v>1.0207221745419437</v>
      </c>
      <c r="H31" s="8">
        <v>722</v>
      </c>
      <c r="I31" s="9">
        <f t="shared" si="10"/>
        <v>1.0196361784869414</v>
      </c>
      <c r="J31" s="8"/>
      <c r="K31" s="9">
        <f t="shared" si="16"/>
        <v>-1</v>
      </c>
      <c r="L31" s="66">
        <f t="shared" si="13"/>
        <v>0</v>
      </c>
      <c r="O31" s="12" t="s">
        <v>8</v>
      </c>
      <c r="P31" s="4" t="s">
        <v>3</v>
      </c>
      <c r="Q31" s="8">
        <f>'[1]billing 2022-2025 retrend'!$K$233</f>
        <v>530.34115999999995</v>
      </c>
      <c r="R31" s="9">
        <f>'[1]billing 2022-2025 retrend'!$K$234</f>
        <v>0.77888155507060963</v>
      </c>
      <c r="S31" s="8">
        <f>'[3]0503 SRI05V3+PBV2'!$K$184</f>
        <v>686.56781680409995</v>
      </c>
      <c r="T31" s="9">
        <f t="shared" si="14"/>
        <v>0.29457765790628065</v>
      </c>
      <c r="U31" s="8">
        <v>560</v>
      </c>
      <c r="V31" s="9">
        <f t="shared" si="17"/>
        <v>5.5924077248690418E-2</v>
      </c>
      <c r="W31" s="8"/>
      <c r="X31" s="9">
        <f t="shared" si="18"/>
        <v>-1</v>
      </c>
      <c r="Y31" s="66">
        <f t="shared" si="19"/>
        <v>0</v>
      </c>
    </row>
    <row r="32" spans="2:25" s="33" customFormat="1" ht="12.5">
      <c r="B32" s="26" t="s">
        <v>16</v>
      </c>
      <c r="C32" s="30"/>
      <c r="D32" s="27">
        <f>D33+D34</f>
        <v>1213.48432</v>
      </c>
      <c r="E32" s="29">
        <f>'[1]billing 2022-2025 retrend'!$J$237</f>
        <v>0.10562983142448745</v>
      </c>
      <c r="F32" s="27">
        <f>F33+F34</f>
        <v>2885.9907103647656</v>
      </c>
      <c r="G32" s="29">
        <f t="shared" si="12"/>
        <v>1.378267821676316</v>
      </c>
      <c r="H32" s="27">
        <f>H33+H34</f>
        <v>1450</v>
      </c>
      <c r="I32" s="31">
        <f t="shared" si="10"/>
        <v>0.19490625144624851</v>
      </c>
      <c r="J32" s="27">
        <f>J33+J34</f>
        <v>0</v>
      </c>
      <c r="K32" s="31">
        <f t="shared" si="16"/>
        <v>-1</v>
      </c>
      <c r="L32" s="66">
        <f t="shared" si="13"/>
        <v>0</v>
      </c>
      <c r="O32" s="26" t="s">
        <v>16</v>
      </c>
      <c r="P32" s="30"/>
      <c r="Q32" s="27">
        <f>Q33+Q34</f>
        <v>367.19415000000004</v>
      </c>
      <c r="R32" s="29">
        <f>'[1]billing 2022-2025 retrend'!$K$237</f>
        <v>-0.77794033049137368</v>
      </c>
      <c r="S32" s="27">
        <f>S33+S34</f>
        <v>3103.9864891603188</v>
      </c>
      <c r="T32" s="29">
        <f t="shared" si="14"/>
        <v>7.4532569191538549</v>
      </c>
      <c r="U32" s="27">
        <f>U33+U34</f>
        <v>1750</v>
      </c>
      <c r="V32" s="31">
        <f t="shared" si="17"/>
        <v>3.7658711338402311</v>
      </c>
      <c r="W32" s="27">
        <f>W33+W34</f>
        <v>0</v>
      </c>
      <c r="X32" s="31">
        <f t="shared" si="18"/>
        <v>-1</v>
      </c>
      <c r="Y32" s="66">
        <f t="shared" si="19"/>
        <v>0</v>
      </c>
    </row>
    <row r="33" spans="2:25" s="33" customFormat="1" ht="13">
      <c r="B33" s="12" t="s">
        <v>9</v>
      </c>
      <c r="C33" s="4" t="s">
        <v>0</v>
      </c>
      <c r="D33" s="15">
        <f>'[1]billing 2022-2025 retrend'!$J$239</f>
        <v>897.42012</v>
      </c>
      <c r="E33" s="9">
        <f>'[1]billing 2022-2025 retrend'!$J$240</f>
        <v>0.8654674340008508</v>
      </c>
      <c r="F33" s="15">
        <f>'[2]0503 SRI05V3+PB'!$J$190</f>
        <v>2142.8317407647355</v>
      </c>
      <c r="G33" s="9">
        <f t="shared" si="12"/>
        <v>1.387768775191641</v>
      </c>
      <c r="H33" s="8">
        <v>1000</v>
      </c>
      <c r="I33" s="10">
        <f t="shared" si="10"/>
        <v>0.11430530440971176</v>
      </c>
      <c r="J33" s="8"/>
      <c r="K33" s="10">
        <f t="shared" si="16"/>
        <v>-1</v>
      </c>
      <c r="L33" s="66">
        <f t="shared" si="13"/>
        <v>0</v>
      </c>
      <c r="M33" s="196"/>
      <c r="O33" s="12" t="s">
        <v>9</v>
      </c>
      <c r="P33" s="4" t="s">
        <v>0</v>
      </c>
      <c r="Q33" s="15">
        <f>'[1]billing 2022-2025 retrend'!$K$239</f>
        <v>61.955800000000004</v>
      </c>
      <c r="R33" s="9">
        <f>'[1]billing 2022-2025 retrend'!$K$240</f>
        <v>-0.9360270279141899</v>
      </c>
      <c r="S33" s="15">
        <f>'[3]0503 SRI05V3+PBV2'!$K$190</f>
        <v>2338.6314775380561</v>
      </c>
      <c r="T33" s="9">
        <f t="shared" si="14"/>
        <v>36.746772336699003</v>
      </c>
      <c r="U33" s="8">
        <v>1350</v>
      </c>
      <c r="V33" s="10">
        <f t="shared" si="17"/>
        <v>20.789727515422285</v>
      </c>
      <c r="W33" s="8"/>
      <c r="X33" s="10">
        <f t="shared" si="18"/>
        <v>-1</v>
      </c>
      <c r="Y33" s="66">
        <f t="shared" si="19"/>
        <v>0</v>
      </c>
    </row>
    <row r="34" spans="2:25" s="33" customFormat="1" ht="13">
      <c r="B34" s="13" t="s">
        <v>10</v>
      </c>
      <c r="C34" s="14" t="s">
        <v>4</v>
      </c>
      <c r="D34" s="16">
        <f>'[1]billing 2022-2025 retrend'!$J$242</f>
        <v>316.06420000000003</v>
      </c>
      <c r="E34" s="17">
        <f>'[1]billing 2022-2025 retrend'!$J$243</f>
        <v>-0.48730862389256979</v>
      </c>
      <c r="F34" s="16">
        <f>'[2]0503 SRI05V3+PB'!$J$193</f>
        <v>743.15896960003022</v>
      </c>
      <c r="G34" s="17">
        <f t="shared" si="12"/>
        <v>1.3512911921060029</v>
      </c>
      <c r="H34" s="18">
        <v>450</v>
      </c>
      <c r="I34" s="19">
        <f t="shared" si="10"/>
        <v>0.42376137506240807</v>
      </c>
      <c r="J34" s="18"/>
      <c r="K34" s="19">
        <f t="shared" si="16"/>
        <v>-1</v>
      </c>
      <c r="L34" s="66">
        <f t="shared" si="13"/>
        <v>0</v>
      </c>
      <c r="O34" s="13" t="s">
        <v>10</v>
      </c>
      <c r="P34" s="14" t="s">
        <v>4</v>
      </c>
      <c r="Q34" s="16">
        <f>'[1]billing 2022-2025 retrend'!$K$242</f>
        <v>305.23835000000003</v>
      </c>
      <c r="R34" s="17">
        <f>'[1]billing 2022-2025 retrend'!$K$243</f>
        <v>-0.55447128808529123</v>
      </c>
      <c r="S34" s="16">
        <f>'[3]0503 SRI05V3+PBV2'!$K$193</f>
        <v>765.35501162226274</v>
      </c>
      <c r="T34" s="17">
        <f t="shared" si="14"/>
        <v>1.5074012214463308</v>
      </c>
      <c r="U34" s="18">
        <v>400</v>
      </c>
      <c r="V34" s="19">
        <f t="shared" si="17"/>
        <v>0.31045132435029865</v>
      </c>
      <c r="W34" s="18"/>
      <c r="X34" s="19">
        <f t="shared" si="18"/>
        <v>-1</v>
      </c>
      <c r="Y34" s="66">
        <f t="shared" si="19"/>
        <v>0</v>
      </c>
    </row>
    <row r="35" spans="2:25" s="33" customFormat="1" ht="13">
      <c r="B35" s="83" t="s">
        <v>30</v>
      </c>
      <c r="D35" s="42">
        <f>D25-D28</f>
        <v>4161.4600199999995</v>
      </c>
      <c r="E35" s="43">
        <f>'[1]billing 2022-2025 retrend'!$J$255</f>
        <v>-0.27905213080247082</v>
      </c>
      <c r="F35" s="42">
        <f>F25-F28</f>
        <v>6512.4051990914713</v>
      </c>
      <c r="G35" s="43">
        <f t="shared" si="12"/>
        <v>0.56493278027250438</v>
      </c>
      <c r="H35" s="42">
        <f>H25-H28</f>
        <v>6168</v>
      </c>
      <c r="I35" s="45">
        <f t="shared" si="10"/>
        <v>0.48217211516067882</v>
      </c>
      <c r="J35" s="42"/>
      <c r="K35" s="45">
        <f t="shared" si="16"/>
        <v>-1</v>
      </c>
      <c r="L35" s="66">
        <f t="shared" si="13"/>
        <v>0</v>
      </c>
      <c r="O35" s="83" t="s">
        <v>30</v>
      </c>
      <c r="Q35" s="42">
        <f>Q25-Q28</f>
        <v>3380.7979300000002</v>
      </c>
      <c r="R35" s="43">
        <f>'[1]billing 2022-2025 retrend'!$K$255</f>
        <v>6.3468802569317972E-2</v>
      </c>
      <c r="S35" s="42">
        <f>S25-S28</f>
        <v>6276.1247339533038</v>
      </c>
      <c r="T35" s="43">
        <f t="shared" si="14"/>
        <v>0.85640338875660138</v>
      </c>
      <c r="U35" s="42">
        <f>U25-U28</f>
        <v>4448</v>
      </c>
      <c r="V35" s="45">
        <f t="shared" si="17"/>
        <v>0.31566573693447553</v>
      </c>
      <c r="W35" s="42"/>
      <c r="X35" s="45">
        <f t="shared" si="18"/>
        <v>-1</v>
      </c>
      <c r="Y35" s="66">
        <f t="shared" si="19"/>
        <v>0</v>
      </c>
    </row>
    <row r="36" spans="2:25" s="33" customFormat="1" ht="13">
      <c r="B36" s="84" t="s">
        <v>31</v>
      </c>
      <c r="D36" s="42">
        <f>D24-D28</f>
        <v>5374.9443399999991</v>
      </c>
      <c r="E36" s="43">
        <f>'[1]billing 2022-2025 retrend'!$J$257</f>
        <v>-0.21759321719688884</v>
      </c>
      <c r="F36" s="42">
        <f>F24-F28</f>
        <v>9398.395909456236</v>
      </c>
      <c r="G36" s="43">
        <f t="shared" si="12"/>
        <v>0.74855688076878524</v>
      </c>
      <c r="H36" s="42">
        <f>H24-H28</f>
        <v>7618</v>
      </c>
      <c r="I36" s="45">
        <f t="shared" si="10"/>
        <v>0.41731700239336833</v>
      </c>
      <c r="J36" s="42"/>
      <c r="K36" s="45">
        <f t="shared" si="16"/>
        <v>-1</v>
      </c>
      <c r="L36" s="66">
        <f t="shared" si="13"/>
        <v>0</v>
      </c>
      <c r="O36" s="84" t="s">
        <v>31</v>
      </c>
      <c r="Q36" s="42">
        <f>Q24-Q28</f>
        <v>3747.99208</v>
      </c>
      <c r="R36" s="43">
        <f>'[1]billing 2022-2025 retrend'!$K$257</f>
        <v>-0.22443762157335856</v>
      </c>
      <c r="S36" s="42">
        <f>S24-S28</f>
        <v>9380.1112231136231</v>
      </c>
      <c r="T36" s="43">
        <f t="shared" si="14"/>
        <v>1.5027030535010155</v>
      </c>
      <c r="U36" s="42">
        <f>U24-U28</f>
        <v>6198</v>
      </c>
      <c r="V36" s="45">
        <f t="shared" si="17"/>
        <v>0.6536854581613738</v>
      </c>
      <c r="W36" s="42"/>
      <c r="X36" s="45">
        <f t="shared" si="18"/>
        <v>-1</v>
      </c>
      <c r="Y36" s="66">
        <f t="shared" si="19"/>
        <v>0</v>
      </c>
    </row>
    <row r="37" spans="2:25" s="33" customFormat="1" ht="12.5">
      <c r="L37" s="66"/>
      <c r="Y37" s="66"/>
    </row>
    <row r="38" spans="2:25" s="100" customFormat="1" ht="26" customHeight="1">
      <c r="B38" s="175"/>
      <c r="H38" s="176"/>
      <c r="I38" s="194"/>
      <c r="L38" s="178"/>
      <c r="O38" s="175"/>
      <c r="U38" s="176"/>
      <c r="V38" s="194"/>
      <c r="Y38" s="178"/>
    </row>
    <row r="39" spans="2:25" s="33" customFormat="1" ht="15.5" customHeight="1">
      <c r="B39" s="172"/>
      <c r="H39" s="173"/>
      <c r="I39" s="174"/>
      <c r="L39" s="66"/>
      <c r="O39" s="172"/>
      <c r="U39" s="173"/>
      <c r="V39" s="174"/>
      <c r="Y39" s="66"/>
    </row>
    <row r="40" spans="2:25" ht="17.5">
      <c r="B40" s="86" t="s">
        <v>43</v>
      </c>
      <c r="D40" s="71" t="s">
        <v>52</v>
      </c>
      <c r="H40" s="71" t="s">
        <v>52</v>
      </c>
      <c r="J40" s="71" t="s">
        <v>52</v>
      </c>
      <c r="O40" s="86" t="s">
        <v>43</v>
      </c>
      <c r="Q40" s="71" t="s">
        <v>52</v>
      </c>
      <c r="U40" s="71" t="s">
        <v>52</v>
      </c>
      <c r="W40" s="71" t="s">
        <v>52</v>
      </c>
    </row>
    <row r="41" spans="2:25" ht="14" customHeight="1">
      <c r="B41" s="441" t="s">
        <v>17</v>
      </c>
      <c r="C41" s="442"/>
      <c r="D41" s="445" t="s">
        <v>96</v>
      </c>
      <c r="E41" s="446"/>
      <c r="F41" s="445" t="s">
        <v>104</v>
      </c>
      <c r="G41" s="446"/>
      <c r="H41" s="445" t="s">
        <v>103</v>
      </c>
      <c r="I41" s="446"/>
      <c r="J41" s="453" t="s">
        <v>78</v>
      </c>
      <c r="K41" s="454"/>
      <c r="O41" s="441" t="s">
        <v>17</v>
      </c>
      <c r="P41" s="442"/>
      <c r="Q41" s="445" t="s">
        <v>197</v>
      </c>
      <c r="R41" s="446"/>
      <c r="S41" s="445" t="s">
        <v>203</v>
      </c>
      <c r="T41" s="446"/>
      <c r="U41" s="445" t="s">
        <v>204</v>
      </c>
      <c r="V41" s="446"/>
      <c r="W41" s="453" t="s">
        <v>202</v>
      </c>
      <c r="X41" s="454"/>
    </row>
    <row r="42" spans="2:25">
      <c r="B42" s="443"/>
      <c r="C42" s="444"/>
      <c r="D42" s="87" t="s">
        <v>51</v>
      </c>
      <c r="E42" s="75" t="s">
        <v>26</v>
      </c>
      <c r="F42" s="87" t="s">
        <v>105</v>
      </c>
      <c r="G42" s="75" t="s">
        <v>26</v>
      </c>
      <c r="H42" s="87" t="s">
        <v>55</v>
      </c>
      <c r="I42" s="75" t="s">
        <v>26</v>
      </c>
      <c r="J42" s="87" t="s">
        <v>82</v>
      </c>
      <c r="K42" s="75" t="s">
        <v>26</v>
      </c>
      <c r="O42" s="443"/>
      <c r="P42" s="444"/>
      <c r="Q42" s="87" t="s">
        <v>51</v>
      </c>
      <c r="R42" s="75" t="s">
        <v>26</v>
      </c>
      <c r="S42" s="87" t="s">
        <v>105</v>
      </c>
      <c r="T42" s="75" t="s">
        <v>26</v>
      </c>
      <c r="U42" s="87" t="s">
        <v>55</v>
      </c>
      <c r="V42" s="75" t="s">
        <v>26</v>
      </c>
      <c r="W42" s="87" t="s">
        <v>82</v>
      </c>
      <c r="X42" s="75" t="s">
        <v>26</v>
      </c>
    </row>
    <row r="43" spans="2:25">
      <c r="B43" s="20" t="s">
        <v>13</v>
      </c>
      <c r="C43" s="21"/>
      <c r="D43" s="50">
        <f t="shared" ref="D43:H44" si="20">D24/D4</f>
        <v>0.87785163787310216</v>
      </c>
      <c r="E43" s="23"/>
      <c r="F43" s="50">
        <f t="shared" ref="F43" si="21">F24/F4</f>
        <v>1.0115996767570465</v>
      </c>
      <c r="G43" s="23"/>
      <c r="H43" s="50">
        <f t="shared" si="20"/>
        <v>0.925802752293578</v>
      </c>
      <c r="I43" s="23"/>
      <c r="J43" s="50" t="e">
        <f t="shared" ref="J43:J44" si="22">J24/J4</f>
        <v>#DIV/0!</v>
      </c>
      <c r="K43" s="51"/>
      <c r="O43" s="20" t="s">
        <v>13</v>
      </c>
      <c r="P43" s="21"/>
      <c r="Q43" s="50">
        <f t="shared" ref="Q43:U43" si="23">Q24/Q4</f>
        <v>0.83433736224237798</v>
      </c>
      <c r="R43" s="23"/>
      <c r="S43" s="50">
        <f t="shared" ref="S43:S44" si="24">S24/S4</f>
        <v>1.0144503951049511</v>
      </c>
      <c r="T43" s="23"/>
      <c r="U43" s="50">
        <f t="shared" ref="U43:Y43" si="25">U24/U4</f>
        <v>0.95558823529411763</v>
      </c>
      <c r="V43" s="23"/>
      <c r="W43" s="50" t="e">
        <f t="shared" ref="W43:W44" si="26">W24/W4</f>
        <v>#DIV/0!</v>
      </c>
      <c r="X43" s="51"/>
    </row>
    <row r="44" spans="2:25">
      <c r="B44" s="25" t="s">
        <v>14</v>
      </c>
      <c r="C44" s="26"/>
      <c r="D44" s="52">
        <f t="shared" si="20"/>
        <v>0.89626458062794767</v>
      </c>
      <c r="E44" s="28"/>
      <c r="F44" s="52">
        <f t="shared" ref="F44" si="27">F25/F5</f>
        <v>0.95</v>
      </c>
      <c r="G44" s="61"/>
      <c r="H44" s="52">
        <f t="shared" si="20"/>
        <v>0.98556547619047619</v>
      </c>
      <c r="I44" s="61"/>
      <c r="J44" s="52" t="e">
        <f t="shared" si="22"/>
        <v>#DIV/0!</v>
      </c>
      <c r="K44" s="29"/>
      <c r="O44" s="25" t="s">
        <v>14</v>
      </c>
      <c r="P44" s="26"/>
      <c r="Q44" s="52">
        <f t="shared" ref="Q44:U44" si="28">Q25/Q5</f>
        <v>0.83300453773344763</v>
      </c>
      <c r="R44" s="28"/>
      <c r="S44" s="52">
        <f t="shared" si="24"/>
        <v>0.92400580422404988</v>
      </c>
      <c r="T44" s="61"/>
      <c r="U44" s="52">
        <f t="shared" ref="U44:Y44" si="29">U25/U5</f>
        <v>0.95341365461847394</v>
      </c>
      <c r="V44" s="61"/>
      <c r="W44" s="52" t="e">
        <f t="shared" si="26"/>
        <v>#DIV/0!</v>
      </c>
      <c r="X44" s="29"/>
    </row>
    <row r="45" spans="2:25">
      <c r="B45" s="3" t="s">
        <v>5</v>
      </c>
      <c r="C45" s="11" t="s">
        <v>1</v>
      </c>
      <c r="D45" s="53">
        <f>D26/D6</f>
        <v>0.91781006390760089</v>
      </c>
      <c r="E45" s="9"/>
      <c r="F45" s="53">
        <f>F26/F6</f>
        <v>0.95</v>
      </c>
      <c r="G45" s="62"/>
      <c r="H45" s="53">
        <f>H26/H6</f>
        <v>0.98419354838709683</v>
      </c>
      <c r="I45" s="62"/>
      <c r="J45" s="53" t="e">
        <f>J26/J6</f>
        <v>#DIV/0!</v>
      </c>
      <c r="K45" s="9"/>
      <c r="O45" s="3" t="s">
        <v>5</v>
      </c>
      <c r="P45" s="11" t="s">
        <v>1</v>
      </c>
      <c r="Q45" s="53">
        <f>Q26/Q6</f>
        <v>0.68128802996541959</v>
      </c>
      <c r="R45" s="9"/>
      <c r="S45" s="53">
        <f>S26/S6</f>
        <v>0.95</v>
      </c>
      <c r="T45" s="62"/>
      <c r="U45" s="53">
        <f>U26/U6</f>
        <v>0.97560975609756095</v>
      </c>
      <c r="V45" s="62"/>
      <c r="W45" s="53" t="e">
        <f>W26/W6</f>
        <v>#DIV/0!</v>
      </c>
      <c r="X45" s="9"/>
    </row>
    <row r="46" spans="2:25">
      <c r="B46" s="38" t="s">
        <v>18</v>
      </c>
      <c r="C46" s="4" t="s">
        <v>2</v>
      </c>
      <c r="D46" s="53">
        <f t="shared" ref="D46:H55" si="30">D27/D7</f>
        <v>0.85672775864117234</v>
      </c>
      <c r="E46" s="10"/>
      <c r="F46" s="53">
        <f t="shared" ref="F46" si="31">F27/F7</f>
        <v>0.95000000000000007</v>
      </c>
      <c r="G46" s="36"/>
      <c r="H46" s="53">
        <f t="shared" si="30"/>
        <v>1</v>
      </c>
      <c r="I46" s="36"/>
      <c r="J46" s="53" t="e">
        <f t="shared" ref="J46:J55" si="32">J27/J7</f>
        <v>#DIV/0!</v>
      </c>
      <c r="K46" s="10"/>
      <c r="O46" s="38" t="s">
        <v>18</v>
      </c>
      <c r="P46" s="4" t="s">
        <v>2</v>
      </c>
      <c r="Q46" s="53">
        <f t="shared" ref="Q46:U46" si="33">Q27/Q7</f>
        <v>0.93707251943361514</v>
      </c>
      <c r="R46" s="10"/>
      <c r="S46" s="53">
        <f t="shared" ref="S46:S55" si="34">S27/S7</f>
        <v>0.95</v>
      </c>
      <c r="T46" s="36"/>
      <c r="U46" s="53">
        <f t="shared" ref="U46:Y46" si="35">U27/U7</f>
        <v>0.96108108108108103</v>
      </c>
      <c r="V46" s="36"/>
      <c r="W46" s="53" t="e">
        <f t="shared" ref="W46:W55" si="36">W27/W7</f>
        <v>#DIV/0!</v>
      </c>
      <c r="X46" s="10"/>
    </row>
    <row r="47" spans="2:25">
      <c r="B47" s="39" t="s">
        <v>11</v>
      </c>
      <c r="C47" s="39"/>
      <c r="D47" s="54">
        <f t="shared" si="30"/>
        <v>0.99664034182009886</v>
      </c>
      <c r="E47" s="41"/>
      <c r="F47" s="54">
        <f t="shared" ref="F47" si="37">F28/F8</f>
        <v>1.5163313333333335</v>
      </c>
      <c r="G47" s="49"/>
      <c r="H47" s="54">
        <f t="shared" si="30"/>
        <v>1.1375</v>
      </c>
      <c r="I47" s="49"/>
      <c r="J47" s="54" t="e">
        <f t="shared" si="32"/>
        <v>#DIV/0!</v>
      </c>
      <c r="K47" s="41"/>
      <c r="O47" s="39" t="s">
        <v>11</v>
      </c>
      <c r="P47" s="39"/>
      <c r="Q47" s="54">
        <f t="shared" ref="Q47:U47" si="38">Q28/Q8</f>
        <v>1.0708038006391216</v>
      </c>
      <c r="R47" s="41"/>
      <c r="S47" s="54">
        <f t="shared" si="34"/>
        <v>1</v>
      </c>
      <c r="T47" s="49"/>
      <c r="U47" s="54">
        <f t="shared" ref="U47:Y47" si="39">U28/U8</f>
        <v>1</v>
      </c>
      <c r="V47" s="49"/>
      <c r="W47" s="54" t="e">
        <f t="shared" si="36"/>
        <v>#DIV/0!</v>
      </c>
      <c r="X47" s="41"/>
    </row>
    <row r="48" spans="2:25" ht="14.5">
      <c r="B48" s="39" t="s">
        <v>19</v>
      </c>
      <c r="C48" s="39"/>
      <c r="D48" s="54">
        <f t="shared" si="30"/>
        <v>0.7871791086393698</v>
      </c>
      <c r="E48" s="41"/>
      <c r="F48" s="54">
        <f t="shared" ref="F48" si="40">F29/F9</f>
        <v>0.88334906937088031</v>
      </c>
      <c r="G48" s="49"/>
      <c r="H48" s="54">
        <f t="shared" si="30"/>
        <v>0.97105263157894739</v>
      </c>
      <c r="I48" s="49"/>
      <c r="J48" s="54" t="e">
        <f t="shared" si="32"/>
        <v>#DIV/0!</v>
      </c>
      <c r="K48" s="41"/>
      <c r="O48" s="39" t="s">
        <v>19</v>
      </c>
      <c r="P48" s="39"/>
      <c r="Q48" s="54">
        <f t="shared" ref="Q48:U48" si="41">Q29/Q9</f>
        <v>0.8976479528583523</v>
      </c>
      <c r="R48" s="41"/>
      <c r="S48" s="54">
        <f t="shared" si="34"/>
        <v>0.94427786832452509</v>
      </c>
      <c r="T48" s="49"/>
      <c r="U48" s="54">
        <f t="shared" ref="U48:Y48" si="42">U29/U9</f>
        <v>0.95354838709677414</v>
      </c>
      <c r="V48" s="49"/>
      <c r="W48" s="54" t="e">
        <f t="shared" si="36"/>
        <v>#DIV/0!</v>
      </c>
      <c r="X48" s="41"/>
    </row>
    <row r="49" spans="2:24">
      <c r="B49" s="12" t="s">
        <v>7</v>
      </c>
      <c r="C49" s="4" t="s">
        <v>15</v>
      </c>
      <c r="D49" s="53">
        <f t="shared" si="30"/>
        <v>0.93998488518228851</v>
      </c>
      <c r="E49" s="10"/>
      <c r="F49" s="53">
        <f t="shared" ref="F49" si="43">F30/F10</f>
        <v>0.95</v>
      </c>
      <c r="G49" s="36"/>
      <c r="H49" s="53">
        <f t="shared" si="30"/>
        <v>0.9821428571428571</v>
      </c>
      <c r="I49" s="36"/>
      <c r="J49" s="53" t="e">
        <f t="shared" si="32"/>
        <v>#DIV/0!</v>
      </c>
      <c r="K49" s="10"/>
      <c r="O49" s="12" t="s">
        <v>7</v>
      </c>
      <c r="P49" s="4" t="s">
        <v>15</v>
      </c>
      <c r="Q49" s="53">
        <f t="shared" ref="Q49:U49" si="44">Q30/Q10</f>
        <v>0.86955040280095963</v>
      </c>
      <c r="R49" s="10"/>
      <c r="S49" s="53">
        <f t="shared" si="34"/>
        <v>0.59892423420130103</v>
      </c>
      <c r="T49" s="36"/>
      <c r="U49" s="53">
        <f t="shared" ref="U49:Y49" si="45">U30/U10</f>
        <v>0.91111111111111109</v>
      </c>
      <c r="V49" s="36"/>
      <c r="W49" s="53" t="e">
        <f t="shared" si="36"/>
        <v>#DIV/0!</v>
      </c>
      <c r="X49" s="10"/>
    </row>
    <row r="50" spans="2:24">
      <c r="B50" s="12" t="s">
        <v>8</v>
      </c>
      <c r="C50" s="4" t="s">
        <v>3</v>
      </c>
      <c r="D50" s="53">
        <f t="shared" si="30"/>
        <v>0.86217071736103557</v>
      </c>
      <c r="E50" s="9"/>
      <c r="F50" s="53">
        <f t="shared" ref="F50" si="46">F31/F11</f>
        <v>0.95</v>
      </c>
      <c r="G50" s="62"/>
      <c r="H50" s="53">
        <f t="shared" si="30"/>
        <v>0.95</v>
      </c>
      <c r="I50" s="62"/>
      <c r="J50" s="53" t="e">
        <f t="shared" si="32"/>
        <v>#DIV/0!</v>
      </c>
      <c r="K50" s="9"/>
      <c r="O50" s="12" t="s">
        <v>8</v>
      </c>
      <c r="P50" s="4" t="s">
        <v>3</v>
      </c>
      <c r="Q50" s="53">
        <f t="shared" ref="Q50:U50" si="47">Q31/Q11</f>
        <v>0.94587677264783043</v>
      </c>
      <c r="R50" s="9"/>
      <c r="S50" s="53">
        <f t="shared" si="34"/>
        <v>0.94999999999999984</v>
      </c>
      <c r="T50" s="62"/>
      <c r="U50" s="53">
        <f t="shared" ref="U50:Y50" si="48">U31/U11</f>
        <v>0.88888888888888884</v>
      </c>
      <c r="V50" s="62"/>
      <c r="W50" s="53" t="e">
        <f t="shared" si="36"/>
        <v>#DIV/0!</v>
      </c>
      <c r="X50" s="9"/>
    </row>
    <row r="51" spans="2:24">
      <c r="B51" s="26" t="s">
        <v>16</v>
      </c>
      <c r="C51" s="30"/>
      <c r="D51" s="52">
        <f t="shared" si="30"/>
        <v>0.81303497563540206</v>
      </c>
      <c r="E51" s="29"/>
      <c r="F51" s="52">
        <f t="shared" ref="F51" si="49">F32/F12</f>
        <v>1.1993448452855031</v>
      </c>
      <c r="G51" s="61"/>
      <c r="H51" s="52">
        <f t="shared" si="30"/>
        <v>0.72499999999999998</v>
      </c>
      <c r="I51" s="63"/>
      <c r="J51" s="52" t="e">
        <f t="shared" si="32"/>
        <v>#DIV/0!</v>
      </c>
      <c r="K51" s="31"/>
      <c r="O51" s="26" t="s">
        <v>16</v>
      </c>
      <c r="P51" s="30"/>
      <c r="Q51" s="52">
        <f t="shared" ref="Q51:U51" si="50">Q32/Q12</f>
        <v>0.84854738482403369</v>
      </c>
      <c r="R51" s="29"/>
      <c r="S51" s="52">
        <f t="shared" si="34"/>
        <v>1.2798630454543074</v>
      </c>
      <c r="T51" s="61"/>
      <c r="U51" s="52">
        <f t="shared" ref="U51:Y51" si="51">U32/U12</f>
        <v>0.96153846153846156</v>
      </c>
      <c r="V51" s="63"/>
      <c r="W51" s="52" t="e">
        <f t="shared" si="36"/>
        <v>#DIV/0!</v>
      </c>
      <c r="X51" s="31"/>
    </row>
    <row r="52" spans="2:24">
      <c r="B52" s="12" t="s">
        <v>9</v>
      </c>
      <c r="C52" s="4" t="s">
        <v>0</v>
      </c>
      <c r="D52" s="55">
        <f t="shared" si="30"/>
        <v>0.94507975487619789</v>
      </c>
      <c r="E52" s="9"/>
      <c r="F52" s="55">
        <f t="shared" ref="F52" si="52">F33/F13</f>
        <v>1.2391349054279219</v>
      </c>
      <c r="G52" s="62"/>
      <c r="H52" s="55">
        <f t="shared" si="30"/>
        <v>0.66666666666666663</v>
      </c>
      <c r="I52" s="36"/>
      <c r="J52" s="55" t="e">
        <f t="shared" si="32"/>
        <v>#DIV/0!</v>
      </c>
      <c r="K52" s="10"/>
      <c r="O52" s="12" t="s">
        <v>9</v>
      </c>
      <c r="P52" s="4" t="s">
        <v>0</v>
      </c>
      <c r="Q52" s="55">
        <f t="shared" ref="Q52:U52" si="53">Q33/Q13</f>
        <v>0.69602935294989965</v>
      </c>
      <c r="R52" s="9"/>
      <c r="S52" s="55">
        <f t="shared" si="34"/>
        <v>1.3558264528148343</v>
      </c>
      <c r="T52" s="62"/>
      <c r="U52" s="55">
        <f t="shared" ref="U52:Y52" si="54">U33/U13</f>
        <v>0.9642857142857143</v>
      </c>
      <c r="V52" s="36"/>
      <c r="W52" s="55" t="e">
        <f t="shared" si="36"/>
        <v>#DIV/0!</v>
      </c>
      <c r="X52" s="10"/>
    </row>
    <row r="53" spans="2:24">
      <c r="B53" s="13" t="s">
        <v>10</v>
      </c>
      <c r="C53" s="14" t="s">
        <v>4</v>
      </c>
      <c r="D53" s="56">
        <f t="shared" si="30"/>
        <v>0.58210717381477084</v>
      </c>
      <c r="E53" s="17"/>
      <c r="F53" s="56">
        <f t="shared" ref="F53" si="55">F34/F14</f>
        <v>1.0977084274500266</v>
      </c>
      <c r="G53" s="147"/>
      <c r="H53" s="56">
        <f t="shared" si="30"/>
        <v>0.9</v>
      </c>
      <c r="I53" s="64"/>
      <c r="J53" s="56" t="e">
        <f t="shared" si="32"/>
        <v>#DIV/0!</v>
      </c>
      <c r="K53" s="19"/>
      <c r="O53" s="13" t="s">
        <v>10</v>
      </c>
      <c r="P53" s="14" t="s">
        <v>4</v>
      </c>
      <c r="Q53" s="56">
        <f t="shared" ref="Q53:U53" si="56">Q34/Q14</f>
        <v>0.88804505791118482</v>
      </c>
      <c r="R53" s="17"/>
      <c r="S53" s="56">
        <f t="shared" si="34"/>
        <v>1.0927809189689153</v>
      </c>
      <c r="T53" s="147"/>
      <c r="U53" s="56">
        <f t="shared" ref="U53:Y53" si="57">U34/U14</f>
        <v>0.95238095238095233</v>
      </c>
      <c r="V53" s="64"/>
      <c r="W53" s="56" t="e">
        <f t="shared" si="36"/>
        <v>#DIV/0!</v>
      </c>
      <c r="X53" s="19"/>
    </row>
    <row r="54" spans="2:24">
      <c r="B54" s="83" t="s">
        <v>30</v>
      </c>
      <c r="C54" s="1"/>
      <c r="D54" s="57">
        <f t="shared" si="30"/>
        <v>0.884544108473446</v>
      </c>
      <c r="E54" s="43"/>
      <c r="F54" s="57">
        <f t="shared" ref="F54" si="58">F35/F15</f>
        <v>0.92584599330866402</v>
      </c>
      <c r="G54" s="43"/>
      <c r="H54" s="57">
        <f t="shared" si="30"/>
        <v>0.97594936708860758</v>
      </c>
      <c r="I54" s="45"/>
      <c r="J54" s="57" t="e">
        <f t="shared" si="32"/>
        <v>#DIV/0!</v>
      </c>
      <c r="K54" s="45"/>
      <c r="O54" s="83" t="s">
        <v>30</v>
      </c>
      <c r="P54" s="1"/>
      <c r="Q54" s="57">
        <f t="shared" ref="Q54:U54" si="59">Q35/Q15</f>
        <v>0.80845066237421059</v>
      </c>
      <c r="R54" s="43"/>
      <c r="S54" s="57">
        <f t="shared" si="34"/>
        <v>0.92066146687943473</v>
      </c>
      <c r="T54" s="43"/>
      <c r="U54" s="57">
        <f t="shared" ref="U54:Y54" si="60">U35/U15</f>
        <v>0.95042735042735038</v>
      </c>
      <c r="V54" s="45"/>
      <c r="W54" s="57" t="e">
        <f t="shared" si="36"/>
        <v>#DIV/0!</v>
      </c>
      <c r="X54" s="45"/>
    </row>
    <row r="55" spans="2:24">
      <c r="B55" s="84" t="s">
        <v>31</v>
      </c>
      <c r="C55" s="1"/>
      <c r="D55" s="57">
        <f t="shared" si="30"/>
        <v>0.86732174637033976</v>
      </c>
      <c r="E55" s="43"/>
      <c r="F55" s="57">
        <f t="shared" ref="F55" si="61">F36/F16</f>
        <v>0.99556000398082034</v>
      </c>
      <c r="G55" s="43"/>
      <c r="H55" s="57">
        <f t="shared" si="30"/>
        <v>0.91562500000000002</v>
      </c>
      <c r="I55" s="45"/>
      <c r="J55" s="57" t="e">
        <f t="shared" si="32"/>
        <v>#DIV/0!</v>
      </c>
      <c r="K55" s="45"/>
      <c r="O55" s="84" t="s">
        <v>31</v>
      </c>
      <c r="P55" s="1"/>
      <c r="Q55" s="57">
        <f t="shared" ref="Q55:U55" si="62">Q36/Q16</f>
        <v>0.81221075549264965</v>
      </c>
      <c r="R55" s="43"/>
      <c r="S55" s="57">
        <f t="shared" si="34"/>
        <v>1.0149194509631581</v>
      </c>
      <c r="T55" s="43"/>
      <c r="U55" s="57">
        <f t="shared" ref="U55:Y55" si="63">U36/U16</f>
        <v>0.95353846153846156</v>
      </c>
      <c r="V55" s="45"/>
      <c r="W55" s="57" t="e">
        <f t="shared" si="36"/>
        <v>#DIV/0!</v>
      </c>
      <c r="X55" s="45"/>
    </row>
  </sheetData>
  <mergeCells count="34">
    <mergeCell ref="O41:P42"/>
    <mergeCell ref="Q41:R41"/>
    <mergeCell ref="S41:T41"/>
    <mergeCell ref="U41:V41"/>
    <mergeCell ref="W41:X41"/>
    <mergeCell ref="U21:X21"/>
    <mergeCell ref="O22:P23"/>
    <mergeCell ref="Q22:R22"/>
    <mergeCell ref="S22:T22"/>
    <mergeCell ref="U22:V22"/>
    <mergeCell ref="W22:X22"/>
    <mergeCell ref="U1:X1"/>
    <mergeCell ref="O2:P3"/>
    <mergeCell ref="Q2:R2"/>
    <mergeCell ref="S2:T2"/>
    <mergeCell ref="U2:V2"/>
    <mergeCell ref="W2:X2"/>
    <mergeCell ref="H21:K21"/>
    <mergeCell ref="J41:K41"/>
    <mergeCell ref="B22:C23"/>
    <mergeCell ref="D22:E22"/>
    <mergeCell ref="H22:I22"/>
    <mergeCell ref="J22:K22"/>
    <mergeCell ref="F41:G41"/>
    <mergeCell ref="F22:G22"/>
    <mergeCell ref="B41:C42"/>
    <mergeCell ref="D41:E41"/>
    <mergeCell ref="H41:I41"/>
    <mergeCell ref="H1:K1"/>
    <mergeCell ref="B2:C3"/>
    <mergeCell ref="D2:E2"/>
    <mergeCell ref="H2:I2"/>
    <mergeCell ref="J2:K2"/>
    <mergeCell ref="F2:G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1370-9CC4-4774-A5D6-0D8994564BF1}">
  <dimension ref="A1:W367"/>
  <sheetViews>
    <sheetView topLeftCell="A264" zoomScale="70" zoomScaleNormal="70" workbookViewId="0">
      <selection activeCell="M278" sqref="M278"/>
    </sheetView>
  </sheetViews>
  <sheetFormatPr defaultRowHeight="14" outlineLevelRow="2"/>
  <cols>
    <col min="1" max="1" width="24.25" style="199" customWidth="1"/>
    <col min="2" max="2" width="13.1640625" style="198" customWidth="1"/>
    <col min="3" max="3" width="15.58203125" style="198" customWidth="1"/>
    <col min="4" max="4" width="14.25" style="198" customWidth="1"/>
    <col min="5" max="5" width="13.58203125" style="198" customWidth="1"/>
    <col min="6" max="6" width="15.08203125" style="198" customWidth="1"/>
    <col min="7" max="7" width="13.6640625" style="198" customWidth="1"/>
    <col min="8" max="8" width="11.4140625" style="198" customWidth="1"/>
    <col min="9" max="9" width="14.75" style="198" customWidth="1"/>
    <col min="10" max="10" width="10.25" style="198" customWidth="1"/>
    <col min="11" max="11" width="10" style="198" customWidth="1"/>
    <col min="12" max="12" width="13.33203125" style="198" customWidth="1"/>
    <col min="13" max="13" width="18.33203125" style="198" customWidth="1"/>
    <col min="14" max="14" width="14.75" style="198" customWidth="1"/>
    <col min="15" max="20" width="14.75" style="199" customWidth="1"/>
    <col min="21" max="21" width="11.5" style="199" customWidth="1"/>
    <col min="22" max="22" width="13.1640625" style="199" customWidth="1"/>
    <col min="23" max="23" width="11.4140625" style="199" customWidth="1"/>
    <col min="24" max="16384" width="8.6640625" style="199"/>
  </cols>
  <sheetData>
    <row r="1" spans="1:20" s="250" customFormat="1" ht="22.5">
      <c r="A1" s="247" t="s">
        <v>146</v>
      </c>
      <c r="B1" s="248"/>
      <c r="C1" s="248"/>
      <c r="D1" s="248"/>
      <c r="E1" s="248"/>
      <c r="F1" s="248"/>
      <c r="G1" s="248"/>
      <c r="H1" s="248"/>
      <c r="I1" s="248"/>
      <c r="J1" s="248"/>
      <c r="K1" s="249"/>
      <c r="L1" s="249"/>
      <c r="M1" s="247" t="s">
        <v>147</v>
      </c>
      <c r="N1" s="248"/>
      <c r="O1" s="248"/>
      <c r="P1" s="248"/>
      <c r="Q1" s="248"/>
      <c r="R1" s="248"/>
      <c r="S1" s="248"/>
      <c r="T1" s="248"/>
    </row>
    <row r="2" spans="1:20" s="250" customFormat="1">
      <c r="A2" s="251" t="s">
        <v>106</v>
      </c>
      <c r="B2" s="252">
        <v>45474</v>
      </c>
      <c r="C2" s="252">
        <v>45475</v>
      </c>
      <c r="D2" s="252">
        <v>45476</v>
      </c>
      <c r="E2" s="252">
        <v>45477</v>
      </c>
      <c r="F2" s="252">
        <v>45478</v>
      </c>
      <c r="G2" s="252">
        <v>45479</v>
      </c>
      <c r="H2" s="253" t="s">
        <v>107</v>
      </c>
      <c r="I2" s="254"/>
      <c r="K2" s="255"/>
      <c r="L2" s="256"/>
      <c r="M2" s="251" t="s">
        <v>106</v>
      </c>
      <c r="N2" s="252">
        <v>45474</v>
      </c>
      <c r="O2" s="252">
        <v>45475</v>
      </c>
      <c r="P2" s="252">
        <v>45476</v>
      </c>
      <c r="Q2" s="252">
        <v>45477</v>
      </c>
      <c r="R2" s="252">
        <v>45478</v>
      </c>
      <c r="S2" s="252">
        <v>45479</v>
      </c>
      <c r="T2" s="253" t="s">
        <v>107</v>
      </c>
    </row>
    <row r="3" spans="1:20" s="250" customFormat="1">
      <c r="A3" s="257" t="s">
        <v>108</v>
      </c>
      <c r="B3" s="258" t="s">
        <v>128</v>
      </c>
      <c r="C3" s="258" t="s">
        <v>128</v>
      </c>
      <c r="D3" s="258" t="s">
        <v>128</v>
      </c>
      <c r="E3" s="258" t="s">
        <v>128</v>
      </c>
      <c r="F3" s="258" t="s">
        <v>128</v>
      </c>
      <c r="G3" s="258" t="s">
        <v>128</v>
      </c>
      <c r="H3" s="259" t="s">
        <v>118</v>
      </c>
      <c r="I3" s="260"/>
      <c r="K3" s="261"/>
      <c r="L3" s="262"/>
      <c r="M3" s="257" t="s">
        <v>108</v>
      </c>
      <c r="N3" s="258" t="s">
        <v>129</v>
      </c>
      <c r="O3" s="258" t="s">
        <v>129</v>
      </c>
      <c r="P3" s="258" t="s">
        <v>129</v>
      </c>
      <c r="Q3" s="258" t="s">
        <v>129</v>
      </c>
      <c r="R3" s="258" t="s">
        <v>129</v>
      </c>
      <c r="S3" s="258" t="s">
        <v>129</v>
      </c>
      <c r="T3" s="259" t="s">
        <v>118</v>
      </c>
    </row>
    <row r="4" spans="1:20" s="250" customFormat="1">
      <c r="A4" s="263" t="s">
        <v>110</v>
      </c>
      <c r="B4" s="264">
        <v>83267.680000000008</v>
      </c>
      <c r="C4" s="264">
        <v>21956.55</v>
      </c>
      <c r="D4" s="264">
        <v>110664.52000000002</v>
      </c>
      <c r="E4" s="264">
        <v>27038.289999999997</v>
      </c>
      <c r="F4" s="264">
        <v>165714.15000000002</v>
      </c>
      <c r="G4" s="264">
        <v>45045.58</v>
      </c>
      <c r="H4" s="265">
        <f t="shared" ref="H4:H9" si="0">SUM(B4:G4)</f>
        <v>453686.77000000008</v>
      </c>
      <c r="I4" s="266"/>
      <c r="J4" s="336"/>
      <c r="K4" s="267"/>
      <c r="L4" s="268"/>
      <c r="M4" s="263" t="s">
        <v>110</v>
      </c>
      <c r="N4" s="264">
        <v>48692.1</v>
      </c>
      <c r="O4" s="264">
        <v>41098.080000000002</v>
      </c>
      <c r="P4" s="264">
        <v>53262</v>
      </c>
      <c r="Q4" s="264">
        <v>111593.25</v>
      </c>
      <c r="R4" s="264">
        <v>182734.05</v>
      </c>
      <c r="S4" s="264">
        <v>64400.000000000007</v>
      </c>
      <c r="T4" s="265">
        <f t="shared" ref="T4:T9" si="1">SUM(N4:S4)</f>
        <v>501779.48</v>
      </c>
    </row>
    <row r="5" spans="1:20" s="250" customFormat="1">
      <c r="A5" s="269" t="s">
        <v>111</v>
      </c>
      <c r="B5" s="270">
        <v>38276.929999999993</v>
      </c>
      <c r="C5" s="270">
        <v>13302.509999999998</v>
      </c>
      <c r="D5" s="270">
        <v>8921.58</v>
      </c>
      <c r="E5" s="270">
        <v>80744.200000000026</v>
      </c>
      <c r="F5" s="270">
        <v>40702.780000000006</v>
      </c>
      <c r="G5" s="270">
        <v>168941.71</v>
      </c>
      <c r="H5" s="271">
        <f t="shared" si="0"/>
        <v>350889.71</v>
      </c>
      <c r="I5" s="266"/>
      <c r="K5" s="267"/>
      <c r="L5" s="268"/>
      <c r="M5" s="269" t="s">
        <v>111</v>
      </c>
      <c r="N5" s="270">
        <v>9608.16</v>
      </c>
      <c r="O5" s="270">
        <v>17405.75</v>
      </c>
      <c r="P5" s="270">
        <v>13999</v>
      </c>
      <c r="Q5" s="270">
        <v>91459.6</v>
      </c>
      <c r="R5" s="270">
        <v>32253</v>
      </c>
      <c r="S5" s="270">
        <v>164614.20000000001</v>
      </c>
      <c r="T5" s="271">
        <f t="shared" si="1"/>
        <v>329339.71000000002</v>
      </c>
    </row>
    <row r="6" spans="1:20" s="250" customFormat="1">
      <c r="A6" s="269" t="s">
        <v>112</v>
      </c>
      <c r="B6" s="270">
        <v>0</v>
      </c>
      <c r="C6" s="270">
        <v>3998.05</v>
      </c>
      <c r="D6" s="270">
        <v>7494.82</v>
      </c>
      <c r="E6" s="270">
        <v>0</v>
      </c>
      <c r="F6" s="270">
        <v>8008.8099999999986</v>
      </c>
      <c r="G6" s="270">
        <v>26827.5</v>
      </c>
      <c r="H6" s="271">
        <f t="shared" si="0"/>
        <v>46329.179999999993</v>
      </c>
      <c r="I6" s="266"/>
      <c r="K6" s="267"/>
      <c r="L6" s="268"/>
      <c r="M6" s="269" t="s">
        <v>112</v>
      </c>
      <c r="N6" s="270">
        <v>0</v>
      </c>
      <c r="O6" s="270">
        <v>0</v>
      </c>
      <c r="P6" s="270">
        <v>799</v>
      </c>
      <c r="Q6" s="270">
        <v>0</v>
      </c>
      <c r="R6" s="270">
        <v>3376.9</v>
      </c>
      <c r="S6" s="270">
        <v>24927.5</v>
      </c>
      <c r="T6" s="271">
        <f t="shared" si="1"/>
        <v>29103.4</v>
      </c>
    </row>
    <row r="7" spans="1:20" s="250" customFormat="1">
      <c r="A7" s="269" t="s">
        <v>113</v>
      </c>
      <c r="B7" s="270">
        <v>0</v>
      </c>
      <c r="C7" s="270">
        <v>16605.899999999998</v>
      </c>
      <c r="D7" s="270">
        <v>13004.2</v>
      </c>
      <c r="E7" s="270">
        <v>0</v>
      </c>
      <c r="F7" s="270">
        <v>22713.07</v>
      </c>
      <c r="G7" s="270">
        <v>20003.97</v>
      </c>
      <c r="H7" s="271">
        <f t="shared" si="0"/>
        <v>72327.14</v>
      </c>
      <c r="I7" s="266"/>
      <c r="K7" s="267"/>
      <c r="L7" s="268"/>
      <c r="M7" s="269" t="s">
        <v>113</v>
      </c>
      <c r="N7" s="270">
        <v>0</v>
      </c>
      <c r="O7" s="270">
        <v>1159</v>
      </c>
      <c r="P7" s="270">
        <v>3050</v>
      </c>
      <c r="Q7" s="270">
        <v>0</v>
      </c>
      <c r="R7" s="270">
        <v>6096</v>
      </c>
      <c r="S7" s="270">
        <v>20861</v>
      </c>
      <c r="T7" s="271">
        <f t="shared" si="1"/>
        <v>31166</v>
      </c>
    </row>
    <row r="8" spans="1:20" s="250" customFormat="1">
      <c r="A8" s="269" t="s">
        <v>114</v>
      </c>
      <c r="B8" s="270">
        <v>0</v>
      </c>
      <c r="C8" s="270">
        <v>6456.8</v>
      </c>
      <c r="D8" s="270">
        <v>30728.19</v>
      </c>
      <c r="E8" s="270">
        <v>75027.08</v>
      </c>
      <c r="F8" s="270">
        <v>44275.700000000004</v>
      </c>
      <c r="G8" s="270">
        <v>103044.80999999998</v>
      </c>
      <c r="H8" s="271">
        <f t="shared" si="0"/>
        <v>259532.58000000002</v>
      </c>
      <c r="I8" s="266"/>
      <c r="K8" s="267"/>
      <c r="L8" s="268"/>
      <c r="M8" s="269" t="s">
        <v>114</v>
      </c>
      <c r="N8" s="270">
        <v>0</v>
      </c>
      <c r="O8" s="270">
        <v>3712</v>
      </c>
      <c r="P8" s="270">
        <v>0</v>
      </c>
      <c r="Q8" s="270">
        <v>160218</v>
      </c>
      <c r="R8" s="270">
        <v>25811.4</v>
      </c>
      <c r="S8" s="270">
        <v>68467.349999999991</v>
      </c>
      <c r="T8" s="271">
        <f t="shared" si="1"/>
        <v>258208.75</v>
      </c>
    </row>
    <row r="9" spans="1:20" s="250" customFormat="1">
      <c r="A9" s="269" t="s">
        <v>115</v>
      </c>
      <c r="B9" s="270">
        <v>59022.96</v>
      </c>
      <c r="C9" s="270">
        <v>0</v>
      </c>
      <c r="D9" s="270">
        <v>17815.46</v>
      </c>
      <c r="E9" s="270">
        <v>13594.699999999999</v>
      </c>
      <c r="F9" s="270">
        <v>50851.520000000004</v>
      </c>
      <c r="G9" s="270">
        <v>35558.770000000004</v>
      </c>
      <c r="H9" s="271">
        <f t="shared" si="0"/>
        <v>176843.41000000003</v>
      </c>
      <c r="I9" s="266"/>
      <c r="K9" s="267"/>
      <c r="L9" s="268"/>
      <c r="M9" s="269" t="s">
        <v>115</v>
      </c>
      <c r="N9" s="270">
        <v>10357</v>
      </c>
      <c r="O9" s="270">
        <v>0</v>
      </c>
      <c r="P9" s="270">
        <v>11111</v>
      </c>
      <c r="Q9" s="270">
        <v>9915</v>
      </c>
      <c r="R9" s="270">
        <v>38696</v>
      </c>
      <c r="S9" s="270">
        <v>26946.400000000001</v>
      </c>
      <c r="T9" s="271">
        <f t="shared" si="1"/>
        <v>97025.4</v>
      </c>
    </row>
    <row r="10" spans="1:20" s="250" customFormat="1">
      <c r="A10" s="257" t="s">
        <v>116</v>
      </c>
      <c r="B10" s="272">
        <f>SUM(B4:B9)</f>
        <v>180567.57</v>
      </c>
      <c r="C10" s="272">
        <f t="shared" ref="C10:H10" si="2">SUM(C4:C9)</f>
        <v>62319.81</v>
      </c>
      <c r="D10" s="272">
        <f t="shared" si="2"/>
        <v>188628.77000000002</v>
      </c>
      <c r="E10" s="272">
        <f t="shared" si="2"/>
        <v>196404.27000000002</v>
      </c>
      <c r="F10" s="272">
        <f t="shared" si="2"/>
        <v>332266.03000000003</v>
      </c>
      <c r="G10" s="272">
        <f t="shared" si="2"/>
        <v>399422.33999999997</v>
      </c>
      <c r="H10" s="273">
        <f t="shared" si="2"/>
        <v>1359608.79</v>
      </c>
      <c r="I10" s="274"/>
      <c r="K10" s="261"/>
      <c r="L10" s="275"/>
      <c r="M10" s="257" t="s">
        <v>116</v>
      </c>
      <c r="N10" s="272">
        <f>SUM(N4:N9)</f>
        <v>68657.259999999995</v>
      </c>
      <c r="O10" s="272">
        <f t="shared" ref="O10:T10" si="3">SUM(O4:O9)</f>
        <v>63374.83</v>
      </c>
      <c r="P10" s="272">
        <f t="shared" si="3"/>
        <v>82221</v>
      </c>
      <c r="Q10" s="272">
        <f t="shared" si="3"/>
        <v>373185.85</v>
      </c>
      <c r="R10" s="272">
        <f t="shared" si="3"/>
        <v>288967.34999999998</v>
      </c>
      <c r="S10" s="272">
        <f t="shared" si="3"/>
        <v>370216.45</v>
      </c>
      <c r="T10" s="273">
        <f t="shared" si="3"/>
        <v>1246622.7399999998</v>
      </c>
    </row>
    <row r="11" spans="1:20" s="250" customFormat="1">
      <c r="B11" s="335"/>
      <c r="C11" s="335"/>
      <c r="D11" s="335"/>
      <c r="E11" s="248"/>
      <c r="F11" s="248"/>
      <c r="G11" s="248"/>
      <c r="H11" s="248"/>
      <c r="I11" s="248"/>
      <c r="J11" s="248"/>
      <c r="K11" s="248"/>
      <c r="L11" s="248"/>
      <c r="M11" s="248"/>
      <c r="N11" s="248"/>
    </row>
    <row r="12" spans="1:20" s="250" customFormat="1">
      <c r="B12" s="248"/>
      <c r="C12" s="248"/>
      <c r="D12" s="248"/>
      <c r="E12" s="248"/>
      <c r="F12" s="348" t="s">
        <v>173</v>
      </c>
      <c r="G12" s="349"/>
      <c r="H12" s="350">
        <v>154888.76</v>
      </c>
      <c r="I12" s="248"/>
      <c r="J12" s="248"/>
      <c r="K12" s="248"/>
      <c r="L12" s="248"/>
      <c r="M12" s="248"/>
      <c r="N12" s="248"/>
    </row>
    <row r="13" spans="1:20" s="250" customFormat="1" ht="16" customHeight="1">
      <c r="A13" s="247"/>
      <c r="B13" s="248"/>
      <c r="C13" s="248"/>
      <c r="D13" s="248"/>
      <c r="E13" s="248"/>
      <c r="F13" s="348" t="s">
        <v>174</v>
      </c>
      <c r="G13" s="349"/>
      <c r="H13" s="349">
        <f>H10-H12</f>
        <v>1204720.03</v>
      </c>
      <c r="I13" s="248"/>
      <c r="J13" s="248"/>
      <c r="K13" s="249"/>
      <c r="L13" s="249"/>
      <c r="M13" s="249"/>
      <c r="N13" s="249"/>
      <c r="O13" s="276"/>
      <c r="P13" s="276"/>
      <c r="Q13" s="277"/>
      <c r="R13" s="276"/>
      <c r="S13" s="276"/>
    </row>
    <row r="14" spans="1:20" s="250" customFormat="1" hidden="1" outlineLevel="1">
      <c r="A14" s="251" t="s">
        <v>106</v>
      </c>
      <c r="B14" s="252">
        <v>45474</v>
      </c>
      <c r="C14" s="252">
        <v>45475</v>
      </c>
      <c r="D14" s="252">
        <v>45476</v>
      </c>
      <c r="E14" s="252">
        <v>45477</v>
      </c>
      <c r="F14" s="252">
        <v>45478</v>
      </c>
      <c r="G14" s="252">
        <v>45479</v>
      </c>
      <c r="H14" s="253" t="s">
        <v>107</v>
      </c>
      <c r="I14" s="254"/>
      <c r="K14" s="255"/>
      <c r="L14" s="256"/>
      <c r="M14" s="256"/>
      <c r="N14" s="256"/>
      <c r="O14" s="256"/>
      <c r="P14" s="256"/>
      <c r="Q14" s="256"/>
      <c r="R14" s="256"/>
      <c r="S14" s="256"/>
    </row>
    <row r="15" spans="1:20" s="250" customFormat="1" hidden="1" outlineLevel="1">
      <c r="A15" s="257" t="s">
        <v>108</v>
      </c>
      <c r="B15" s="258" t="s">
        <v>109</v>
      </c>
      <c r="C15" s="258" t="s">
        <v>109</v>
      </c>
      <c r="D15" s="258" t="s">
        <v>109</v>
      </c>
      <c r="E15" s="258" t="s">
        <v>109</v>
      </c>
      <c r="F15" s="258" t="s">
        <v>109</v>
      </c>
      <c r="G15" s="258" t="s">
        <v>109</v>
      </c>
      <c r="H15" s="259" t="s">
        <v>118</v>
      </c>
      <c r="I15" s="260"/>
      <c r="K15" s="261"/>
      <c r="L15" s="262"/>
      <c r="M15" s="262"/>
      <c r="N15" s="256"/>
      <c r="O15" s="256"/>
      <c r="P15" s="256"/>
      <c r="Q15" s="256"/>
      <c r="R15" s="256"/>
      <c r="S15" s="256"/>
    </row>
    <row r="16" spans="1:20" s="250" customFormat="1" hidden="1" outlineLevel="1">
      <c r="A16" s="263" t="s">
        <v>110</v>
      </c>
      <c r="B16" s="264">
        <v>8</v>
      </c>
      <c r="C16" s="264">
        <v>8</v>
      </c>
      <c r="D16" s="264">
        <v>5</v>
      </c>
      <c r="E16" s="264">
        <v>5</v>
      </c>
      <c r="F16" s="264">
        <v>15</v>
      </c>
      <c r="G16" s="264">
        <v>7</v>
      </c>
      <c r="H16" s="265">
        <f t="shared" ref="H16:H21" si="4">SUM(B16:G16)</f>
        <v>48</v>
      </c>
      <c r="I16" s="266"/>
      <c r="K16" s="267"/>
      <c r="L16" s="268"/>
      <c r="M16" s="268"/>
      <c r="N16" s="256"/>
      <c r="O16" s="256"/>
      <c r="P16" s="256"/>
      <c r="Q16" s="256"/>
      <c r="R16" s="256"/>
      <c r="S16" s="256"/>
    </row>
    <row r="17" spans="1:20" s="250" customFormat="1" hidden="1" outlineLevel="1">
      <c r="A17" s="269" t="s">
        <v>111</v>
      </c>
      <c r="B17" s="270">
        <v>11</v>
      </c>
      <c r="C17" s="270">
        <v>8</v>
      </c>
      <c r="D17" s="270">
        <v>7</v>
      </c>
      <c r="E17" s="270">
        <v>14</v>
      </c>
      <c r="F17" s="270">
        <v>15</v>
      </c>
      <c r="G17" s="270">
        <v>32</v>
      </c>
      <c r="H17" s="271">
        <f t="shared" si="4"/>
        <v>87</v>
      </c>
      <c r="I17" s="266"/>
      <c r="K17" s="267"/>
      <c r="L17" s="268"/>
      <c r="M17" s="268"/>
      <c r="N17" s="256"/>
      <c r="O17" s="256"/>
      <c r="P17" s="256"/>
      <c r="Q17" s="256"/>
      <c r="R17" s="256"/>
      <c r="S17" s="256"/>
    </row>
    <row r="18" spans="1:20" s="250" customFormat="1" hidden="1" outlineLevel="1">
      <c r="A18" s="269" t="s">
        <v>112</v>
      </c>
      <c r="B18" s="270"/>
      <c r="C18" s="270">
        <v>2</v>
      </c>
      <c r="D18" s="270">
        <v>6</v>
      </c>
      <c r="E18" s="270"/>
      <c r="F18" s="270">
        <v>4</v>
      </c>
      <c r="G18" s="270">
        <v>2</v>
      </c>
      <c r="H18" s="271">
        <f t="shared" si="4"/>
        <v>14</v>
      </c>
      <c r="I18" s="266"/>
      <c r="K18" s="267"/>
      <c r="L18" s="268"/>
      <c r="M18" s="268"/>
      <c r="N18" s="256"/>
      <c r="O18" s="256"/>
      <c r="P18" s="256"/>
      <c r="Q18" s="256"/>
      <c r="R18" s="256"/>
      <c r="S18" s="256"/>
    </row>
    <row r="19" spans="1:20" s="250" customFormat="1" hidden="1" outlineLevel="1">
      <c r="A19" s="269" t="s">
        <v>113</v>
      </c>
      <c r="B19" s="270"/>
      <c r="C19" s="270">
        <v>3</v>
      </c>
      <c r="D19" s="270">
        <v>5</v>
      </c>
      <c r="E19" s="270"/>
      <c r="F19" s="270">
        <v>4</v>
      </c>
      <c r="G19" s="270">
        <v>11</v>
      </c>
      <c r="H19" s="271">
        <f t="shared" si="4"/>
        <v>23</v>
      </c>
      <c r="I19" s="266"/>
      <c r="K19" s="267"/>
      <c r="L19" s="268"/>
      <c r="M19" s="268"/>
      <c r="N19" s="256"/>
      <c r="O19" s="256"/>
      <c r="P19" s="256"/>
      <c r="Q19" s="256"/>
      <c r="R19" s="256"/>
      <c r="S19" s="256"/>
    </row>
    <row r="20" spans="1:20" s="250" customFormat="1" hidden="1" outlineLevel="1">
      <c r="A20" s="269" t="s">
        <v>114</v>
      </c>
      <c r="B20" s="270"/>
      <c r="C20" s="270">
        <v>3</v>
      </c>
      <c r="D20" s="270">
        <v>2</v>
      </c>
      <c r="E20" s="270">
        <v>3</v>
      </c>
      <c r="F20" s="270">
        <v>5</v>
      </c>
      <c r="G20" s="270">
        <v>11</v>
      </c>
      <c r="H20" s="271">
        <f t="shared" si="4"/>
        <v>24</v>
      </c>
      <c r="I20" s="266"/>
      <c r="K20" s="267"/>
      <c r="L20" s="268"/>
      <c r="M20" s="268"/>
      <c r="N20" s="256"/>
      <c r="O20" s="256"/>
      <c r="P20" s="256"/>
      <c r="Q20" s="256"/>
      <c r="R20" s="256"/>
      <c r="S20" s="256"/>
    </row>
    <row r="21" spans="1:20" s="250" customFormat="1" hidden="1" outlineLevel="1">
      <c r="A21" s="269" t="s">
        <v>115</v>
      </c>
      <c r="B21" s="270">
        <v>6</v>
      </c>
      <c r="C21" s="270"/>
      <c r="D21" s="270">
        <v>5</v>
      </c>
      <c r="E21" s="270">
        <v>10</v>
      </c>
      <c r="F21" s="270">
        <v>8</v>
      </c>
      <c r="G21" s="270">
        <v>11</v>
      </c>
      <c r="H21" s="271">
        <f t="shared" si="4"/>
        <v>40</v>
      </c>
      <c r="I21" s="266"/>
      <c r="K21" s="267"/>
      <c r="L21" s="268"/>
      <c r="M21" s="268"/>
      <c r="N21" s="256"/>
      <c r="O21" s="256"/>
      <c r="P21" s="256"/>
      <c r="Q21" s="256"/>
      <c r="R21" s="256"/>
      <c r="S21" s="256"/>
    </row>
    <row r="22" spans="1:20" s="250" customFormat="1" hidden="1" outlineLevel="1">
      <c r="A22" s="257" t="s">
        <v>116</v>
      </c>
      <c r="B22" s="272">
        <f>SUM(B16:B21)</f>
        <v>25</v>
      </c>
      <c r="C22" s="272">
        <f t="shared" ref="C22:H22" si="5">SUM(C16:C21)</f>
        <v>24</v>
      </c>
      <c r="D22" s="272">
        <f t="shared" si="5"/>
        <v>30</v>
      </c>
      <c r="E22" s="272">
        <f t="shared" si="5"/>
        <v>32</v>
      </c>
      <c r="F22" s="272">
        <f t="shared" si="5"/>
        <v>51</v>
      </c>
      <c r="G22" s="272">
        <f t="shared" si="5"/>
        <v>74</v>
      </c>
      <c r="H22" s="273">
        <f t="shared" si="5"/>
        <v>236</v>
      </c>
      <c r="I22" s="274"/>
      <c r="K22" s="261"/>
      <c r="L22" s="275"/>
      <c r="M22" s="275"/>
      <c r="N22" s="275"/>
      <c r="O22" s="275"/>
      <c r="P22" s="276"/>
      <c r="Q22" s="276"/>
      <c r="R22" s="276"/>
      <c r="S22" s="276"/>
    </row>
    <row r="23" spans="1:20" collapsed="1">
      <c r="K23" s="234"/>
      <c r="L23" s="234"/>
      <c r="M23" s="234"/>
      <c r="N23" s="234"/>
      <c r="O23" s="235"/>
      <c r="P23" s="235"/>
      <c r="Q23" s="235"/>
      <c r="R23" s="235"/>
      <c r="S23" s="235"/>
    </row>
    <row r="24" spans="1:20">
      <c r="K24" s="234"/>
      <c r="L24" s="234"/>
      <c r="M24" s="234"/>
      <c r="N24" s="234"/>
      <c r="O24" s="235"/>
      <c r="P24" s="235"/>
      <c r="Q24" s="235"/>
      <c r="R24" s="235"/>
      <c r="S24" s="235"/>
    </row>
    <row r="25" spans="1:20" ht="22.5" outlineLevel="1">
      <c r="A25" s="197" t="s">
        <v>141</v>
      </c>
      <c r="K25" s="234"/>
      <c r="L25" s="234"/>
      <c r="M25" s="197" t="s">
        <v>142</v>
      </c>
      <c r="O25" s="198"/>
      <c r="P25" s="198"/>
      <c r="Q25" s="198"/>
      <c r="R25" s="198"/>
      <c r="S25" s="198"/>
      <c r="T25" s="198"/>
    </row>
    <row r="26" spans="1:20" ht="18.5" customHeight="1" outlineLevel="1">
      <c r="A26" s="200" t="s">
        <v>106</v>
      </c>
      <c r="B26" s="201">
        <v>45839</v>
      </c>
      <c r="C26" s="201">
        <v>45840</v>
      </c>
      <c r="D26" s="201">
        <v>45841</v>
      </c>
      <c r="E26" s="201">
        <v>45842</v>
      </c>
      <c r="F26" s="201">
        <v>45843</v>
      </c>
      <c r="G26" s="201">
        <v>45844</v>
      </c>
      <c r="H26" s="202" t="s">
        <v>107</v>
      </c>
      <c r="I26" s="467"/>
      <c r="J26" s="199"/>
      <c r="K26" s="237"/>
      <c r="L26" s="238"/>
      <c r="M26" s="200" t="s">
        <v>106</v>
      </c>
      <c r="N26" s="201">
        <v>45474</v>
      </c>
      <c r="O26" s="201">
        <v>45475</v>
      </c>
      <c r="P26" s="201">
        <v>45476</v>
      </c>
      <c r="Q26" s="201">
        <v>45477</v>
      </c>
      <c r="R26" s="201">
        <v>45478</v>
      </c>
      <c r="S26" s="201">
        <v>45479</v>
      </c>
      <c r="T26" s="202" t="s">
        <v>107</v>
      </c>
    </row>
    <row r="27" spans="1:20" ht="18.5" customHeight="1" outlineLevel="1">
      <c r="A27" s="204" t="s">
        <v>108</v>
      </c>
      <c r="B27" s="205" t="s">
        <v>128</v>
      </c>
      <c r="C27" s="205" t="s">
        <v>128</v>
      </c>
      <c r="D27" s="205" t="s">
        <v>128</v>
      </c>
      <c r="E27" s="205" t="s">
        <v>128</v>
      </c>
      <c r="F27" s="205" t="s">
        <v>128</v>
      </c>
      <c r="G27" s="205" t="s">
        <v>128</v>
      </c>
      <c r="H27" s="206" t="s">
        <v>118</v>
      </c>
      <c r="I27" s="467"/>
      <c r="J27" s="199"/>
      <c r="K27" s="240"/>
      <c r="L27" s="241"/>
      <c r="M27" s="204" t="s">
        <v>108</v>
      </c>
      <c r="N27" s="205" t="s">
        <v>129</v>
      </c>
      <c r="O27" s="205" t="s">
        <v>129</v>
      </c>
      <c r="P27" s="205" t="s">
        <v>129</v>
      </c>
      <c r="Q27" s="205" t="s">
        <v>129</v>
      </c>
      <c r="R27" s="205" t="s">
        <v>129</v>
      </c>
      <c r="S27" s="205" t="s">
        <v>129</v>
      </c>
      <c r="T27" s="206" t="s">
        <v>118</v>
      </c>
    </row>
    <row r="28" spans="1:20" outlineLevel="1">
      <c r="A28" s="208" t="s">
        <v>110</v>
      </c>
      <c r="B28" s="299">
        <v>65000</v>
      </c>
      <c r="C28" s="299">
        <v>55000</v>
      </c>
      <c r="D28" s="299">
        <v>35000</v>
      </c>
      <c r="E28" s="299">
        <v>60000</v>
      </c>
      <c r="F28" s="299">
        <v>330000</v>
      </c>
      <c r="G28" s="299">
        <v>120000</v>
      </c>
      <c r="H28" s="298">
        <f t="shared" ref="H28:H33" si="6">SUM(B28:G28)</f>
        <v>665000</v>
      </c>
      <c r="I28" s="217"/>
      <c r="J28" s="338"/>
      <c r="K28" s="242"/>
      <c r="L28" s="243"/>
      <c r="M28" s="208" t="s">
        <v>110</v>
      </c>
      <c r="N28" s="327">
        <v>59860</v>
      </c>
      <c r="O28" s="327">
        <v>53300</v>
      </c>
      <c r="P28" s="327">
        <v>38160</v>
      </c>
      <c r="Q28" s="327">
        <v>55850</v>
      </c>
      <c r="R28" s="327">
        <v>278060</v>
      </c>
      <c r="S28" s="327">
        <v>113600</v>
      </c>
      <c r="T28" s="210">
        <f t="shared" ref="T28:T33" si="7">SUM(N28:S28)</f>
        <v>598830</v>
      </c>
    </row>
    <row r="29" spans="1:20" outlineLevel="1">
      <c r="A29" s="212" t="s">
        <v>111</v>
      </c>
      <c r="B29" s="327">
        <v>30000</v>
      </c>
      <c r="C29" s="327">
        <v>30000</v>
      </c>
      <c r="D29" s="327">
        <v>30000</v>
      </c>
      <c r="E29" s="327">
        <v>70000</v>
      </c>
      <c r="F29" s="327">
        <v>50000</v>
      </c>
      <c r="G29" s="327">
        <v>20000</v>
      </c>
      <c r="H29" s="214">
        <f t="shared" si="6"/>
        <v>230000</v>
      </c>
      <c r="I29" s="217"/>
      <c r="J29" s="338"/>
      <c r="K29" s="242"/>
      <c r="L29" s="243"/>
      <c r="M29" s="212" t="s">
        <v>111</v>
      </c>
      <c r="N29" s="328">
        <v>38100</v>
      </c>
      <c r="O29" s="328">
        <v>63600</v>
      </c>
      <c r="P29" s="328">
        <v>33600</v>
      </c>
      <c r="Q29" s="328">
        <v>63100</v>
      </c>
      <c r="R29" s="328">
        <v>60800</v>
      </c>
      <c r="S29" s="328">
        <v>37300</v>
      </c>
      <c r="T29" s="214">
        <f t="shared" si="7"/>
        <v>296500</v>
      </c>
    </row>
    <row r="30" spans="1:20" outlineLevel="1">
      <c r="A30" s="212" t="s">
        <v>112</v>
      </c>
      <c r="B30" s="278">
        <v>11000</v>
      </c>
      <c r="C30" s="278">
        <v>20000</v>
      </c>
      <c r="D30" s="278">
        <v>20000</v>
      </c>
      <c r="E30" s="278">
        <v>25000</v>
      </c>
      <c r="F30" s="278">
        <v>40000</v>
      </c>
      <c r="G30" s="278">
        <v>25000</v>
      </c>
      <c r="H30" s="214">
        <f t="shared" si="6"/>
        <v>141000</v>
      </c>
      <c r="I30" s="217"/>
      <c r="J30" s="338"/>
      <c r="K30" s="242"/>
      <c r="L30" s="243"/>
      <c r="M30" s="212" t="s">
        <v>112</v>
      </c>
      <c r="N30" s="299">
        <v>10700</v>
      </c>
      <c r="O30" s="299">
        <v>21000</v>
      </c>
      <c r="P30" s="299">
        <v>15800</v>
      </c>
      <c r="Q30" s="299">
        <v>1500</v>
      </c>
      <c r="R30" s="299">
        <v>46600</v>
      </c>
      <c r="S30" s="299">
        <v>31000</v>
      </c>
      <c r="T30" s="214">
        <f t="shared" si="7"/>
        <v>126600</v>
      </c>
    </row>
    <row r="31" spans="1:20" outlineLevel="1">
      <c r="A31" s="212" t="s">
        <v>113</v>
      </c>
      <c r="B31" s="299">
        <v>15000</v>
      </c>
      <c r="C31" s="299">
        <v>19000</v>
      </c>
      <c r="D31" s="299">
        <v>0</v>
      </c>
      <c r="E31" s="299">
        <v>19000</v>
      </c>
      <c r="F31" s="299">
        <v>26000</v>
      </c>
      <c r="G31" s="299">
        <v>20000</v>
      </c>
      <c r="H31" s="214">
        <f t="shared" si="6"/>
        <v>99000</v>
      </c>
      <c r="I31" s="217"/>
      <c r="J31" s="338"/>
      <c r="K31" s="242"/>
      <c r="L31" s="243"/>
      <c r="M31" s="212" t="s">
        <v>113</v>
      </c>
      <c r="N31" s="299">
        <v>12650</v>
      </c>
      <c r="O31" s="299">
        <v>15650</v>
      </c>
      <c r="P31" s="299">
        <v>0</v>
      </c>
      <c r="Q31" s="299">
        <v>18000</v>
      </c>
      <c r="R31" s="299">
        <v>23200</v>
      </c>
      <c r="S31" s="299">
        <v>19200</v>
      </c>
      <c r="T31" s="214">
        <f t="shared" si="7"/>
        <v>88700</v>
      </c>
    </row>
    <row r="32" spans="1:20" outlineLevel="1">
      <c r="A32" s="212" t="s">
        <v>114</v>
      </c>
      <c r="B32" s="299">
        <v>10000</v>
      </c>
      <c r="C32" s="299">
        <v>25000</v>
      </c>
      <c r="D32" s="299">
        <v>30000</v>
      </c>
      <c r="E32" s="299">
        <v>40000</v>
      </c>
      <c r="F32" s="299">
        <v>180000</v>
      </c>
      <c r="G32" s="299">
        <v>60000</v>
      </c>
      <c r="H32" s="214">
        <f t="shared" si="6"/>
        <v>345000</v>
      </c>
      <c r="I32" s="217"/>
      <c r="J32" s="338"/>
      <c r="K32" s="242"/>
      <c r="L32" s="243"/>
      <c r="M32" s="212" t="s">
        <v>114</v>
      </c>
      <c r="N32" s="299">
        <v>6666.6666666666661</v>
      </c>
      <c r="O32" s="299">
        <v>7666</v>
      </c>
      <c r="P32" s="299">
        <v>12000.333333333332</v>
      </c>
      <c r="Q32" s="299">
        <v>17333.333333333332</v>
      </c>
      <c r="R32" s="299">
        <v>141999.33333333334</v>
      </c>
      <c r="S32" s="299">
        <v>22000</v>
      </c>
      <c r="T32" s="214">
        <f t="shared" si="7"/>
        <v>207665.66666666669</v>
      </c>
    </row>
    <row r="33" spans="1:20" outlineLevel="1">
      <c r="A33" s="212" t="s">
        <v>115</v>
      </c>
      <c r="B33" s="299">
        <v>0</v>
      </c>
      <c r="C33" s="299">
        <v>10000</v>
      </c>
      <c r="D33" s="299">
        <v>20000</v>
      </c>
      <c r="E33" s="299">
        <v>10000</v>
      </c>
      <c r="F33" s="299">
        <v>25000</v>
      </c>
      <c r="G33" s="299">
        <v>20000</v>
      </c>
      <c r="H33" s="214">
        <f t="shared" si="6"/>
        <v>85000</v>
      </c>
      <c r="I33" s="217"/>
      <c r="J33" s="338"/>
      <c r="K33" s="242"/>
      <c r="L33" s="243"/>
      <c r="M33" s="212" t="s">
        <v>115</v>
      </c>
      <c r="N33" s="299">
        <v>0</v>
      </c>
      <c r="O33" s="299">
        <v>10000</v>
      </c>
      <c r="P33" s="299">
        <v>15000</v>
      </c>
      <c r="Q33" s="299">
        <v>15000</v>
      </c>
      <c r="R33" s="299">
        <v>20000</v>
      </c>
      <c r="S33" s="299">
        <v>20000</v>
      </c>
      <c r="T33" s="214">
        <f t="shared" si="7"/>
        <v>80000</v>
      </c>
    </row>
    <row r="34" spans="1:20" outlineLevel="1">
      <c r="A34" s="204" t="s">
        <v>116</v>
      </c>
      <c r="B34" s="215">
        <f>SUM(B28:B33)</f>
        <v>131000</v>
      </c>
      <c r="C34" s="215">
        <f t="shared" ref="C34:G34" si="8">SUM(C28:C33)</f>
        <v>159000</v>
      </c>
      <c r="D34" s="215">
        <f t="shared" si="8"/>
        <v>135000</v>
      </c>
      <c r="E34" s="215">
        <f t="shared" si="8"/>
        <v>224000</v>
      </c>
      <c r="F34" s="215">
        <f t="shared" si="8"/>
        <v>651000</v>
      </c>
      <c r="G34" s="215">
        <f t="shared" si="8"/>
        <v>265000</v>
      </c>
      <c r="H34" s="216">
        <f>SUM(H28:H33)</f>
        <v>1565000</v>
      </c>
      <c r="I34" s="217"/>
      <c r="J34" s="338"/>
      <c r="K34" s="240"/>
      <c r="L34" s="245"/>
      <c r="M34" s="204" t="s">
        <v>116</v>
      </c>
      <c r="N34" s="215">
        <f>SUM(N28:N33)</f>
        <v>127976.66666666667</v>
      </c>
      <c r="O34" s="215">
        <f t="shared" ref="O34:T34" si="9">SUM(O28:O33)</f>
        <v>171216</v>
      </c>
      <c r="P34" s="215">
        <f t="shared" si="9"/>
        <v>114560.33333333333</v>
      </c>
      <c r="Q34" s="215">
        <f t="shared" si="9"/>
        <v>170783.33333333334</v>
      </c>
      <c r="R34" s="215">
        <f t="shared" si="9"/>
        <v>570659.33333333337</v>
      </c>
      <c r="S34" s="215">
        <f t="shared" si="9"/>
        <v>243100</v>
      </c>
      <c r="T34" s="216">
        <f t="shared" si="9"/>
        <v>1398295.6666666667</v>
      </c>
    </row>
    <row r="37" spans="1:20" ht="22.5" outlineLevel="1">
      <c r="A37" s="197" t="s">
        <v>143</v>
      </c>
      <c r="K37" s="234"/>
      <c r="L37" s="234"/>
      <c r="M37" s="234"/>
      <c r="N37" s="234"/>
      <c r="O37" s="235"/>
      <c r="P37" s="235"/>
      <c r="Q37" s="236"/>
      <c r="R37" s="235"/>
      <c r="S37" s="235"/>
    </row>
    <row r="38" spans="1:20" ht="23" customHeight="1" outlineLevel="1">
      <c r="A38" s="200" t="s">
        <v>106</v>
      </c>
      <c r="B38" s="201">
        <v>45474</v>
      </c>
      <c r="C38" s="201">
        <v>45475</v>
      </c>
      <c r="D38" s="201">
        <v>45476</v>
      </c>
      <c r="E38" s="201">
        <v>45477</v>
      </c>
      <c r="F38" s="201">
        <v>45478</v>
      </c>
      <c r="G38" s="201">
        <v>45479</v>
      </c>
      <c r="H38" s="202" t="s">
        <v>107</v>
      </c>
      <c r="I38" s="467" t="s">
        <v>167</v>
      </c>
      <c r="J38" s="199"/>
      <c r="K38" s="237"/>
      <c r="L38" s="238"/>
      <c r="M38" s="238"/>
      <c r="N38" s="238"/>
      <c r="O38" s="239"/>
      <c r="P38" s="235"/>
      <c r="Q38" s="235"/>
      <c r="R38" s="235"/>
      <c r="S38" s="235"/>
    </row>
    <row r="39" spans="1:20" ht="16" customHeight="1" outlineLevel="1">
      <c r="A39" s="204" t="s">
        <v>108</v>
      </c>
      <c r="B39" s="205" t="s">
        <v>109</v>
      </c>
      <c r="C39" s="205" t="s">
        <v>109</v>
      </c>
      <c r="D39" s="205" t="s">
        <v>109</v>
      </c>
      <c r="E39" s="205" t="s">
        <v>109</v>
      </c>
      <c r="F39" s="205" t="s">
        <v>109</v>
      </c>
      <c r="G39" s="205" t="s">
        <v>109</v>
      </c>
      <c r="H39" s="206" t="s">
        <v>118</v>
      </c>
      <c r="I39" s="467"/>
      <c r="J39" s="199"/>
      <c r="K39" s="240"/>
      <c r="L39" s="241"/>
      <c r="M39" s="241"/>
      <c r="N39" s="241"/>
      <c r="O39" s="241"/>
      <c r="P39" s="235"/>
      <c r="Q39" s="235"/>
      <c r="R39" s="235"/>
      <c r="S39" s="235"/>
    </row>
    <row r="40" spans="1:20" ht="17.5" outlineLevel="1">
      <c r="A40" s="208" t="s">
        <v>110</v>
      </c>
      <c r="B40" s="213">
        <v>9</v>
      </c>
      <c r="C40" s="213">
        <v>10</v>
      </c>
      <c r="D40" s="213">
        <v>10</v>
      </c>
      <c r="E40" s="213">
        <v>15</v>
      </c>
      <c r="F40" s="213">
        <v>28</v>
      </c>
      <c r="G40" s="213">
        <v>17</v>
      </c>
      <c r="H40" s="214">
        <f>SUM(B40:G40)</f>
        <v>89</v>
      </c>
      <c r="I40" s="219">
        <f>H40-H16</f>
        <v>41</v>
      </c>
      <c r="J40" s="199"/>
      <c r="K40" s="242"/>
      <c r="L40" s="243"/>
      <c r="M40" s="243"/>
      <c r="N40" s="243"/>
      <c r="O40" s="244"/>
      <c r="P40" s="235"/>
      <c r="Q40" s="235"/>
      <c r="R40" s="235"/>
      <c r="S40" s="235"/>
    </row>
    <row r="41" spans="1:20" ht="17.5" outlineLevel="1">
      <c r="A41" s="212" t="s">
        <v>111</v>
      </c>
      <c r="B41" s="213">
        <v>11</v>
      </c>
      <c r="C41" s="213">
        <v>7</v>
      </c>
      <c r="D41" s="213">
        <v>10</v>
      </c>
      <c r="E41" s="213">
        <v>17</v>
      </c>
      <c r="F41" s="213">
        <v>8</v>
      </c>
      <c r="G41" s="213">
        <v>7</v>
      </c>
      <c r="H41" s="214">
        <f t="shared" ref="H41:H45" si="10">SUM(B41:G41)</f>
        <v>60</v>
      </c>
      <c r="I41" s="219">
        <f t="shared" ref="I41:I46" si="11">H41-H17</f>
        <v>-27</v>
      </c>
      <c r="J41" s="199"/>
      <c r="K41" s="242"/>
      <c r="L41" s="243"/>
      <c r="M41" s="243"/>
      <c r="N41" s="243"/>
      <c r="O41" s="244"/>
      <c r="P41" s="235"/>
      <c r="Q41" s="235"/>
      <c r="R41" s="235"/>
      <c r="S41" s="235"/>
    </row>
    <row r="42" spans="1:20" ht="17.5" outlineLevel="1">
      <c r="A42" s="212" t="s">
        <v>112</v>
      </c>
      <c r="B42" s="213">
        <v>3</v>
      </c>
      <c r="C42" s="213">
        <v>5</v>
      </c>
      <c r="D42" s="213">
        <v>5</v>
      </c>
      <c r="E42" s="213">
        <v>6</v>
      </c>
      <c r="F42" s="213">
        <v>10</v>
      </c>
      <c r="G42" s="213">
        <v>6</v>
      </c>
      <c r="H42" s="214">
        <f t="shared" si="10"/>
        <v>35</v>
      </c>
      <c r="I42" s="219">
        <f t="shared" si="11"/>
        <v>21</v>
      </c>
      <c r="J42" s="199"/>
      <c r="K42" s="242"/>
      <c r="L42" s="243"/>
      <c r="M42" s="243"/>
      <c r="N42" s="243"/>
      <c r="O42" s="244"/>
      <c r="P42" s="235"/>
      <c r="Q42" s="235"/>
      <c r="R42" s="235"/>
      <c r="S42" s="235"/>
    </row>
    <row r="43" spans="1:20" ht="17.5" outlineLevel="1">
      <c r="A43" s="212" t="s">
        <v>113</v>
      </c>
      <c r="B43" s="213">
        <v>5</v>
      </c>
      <c r="C43" s="213">
        <v>5</v>
      </c>
      <c r="D43" s="213" t="s">
        <v>126</v>
      </c>
      <c r="E43" s="213">
        <v>5</v>
      </c>
      <c r="F43" s="213">
        <v>7</v>
      </c>
      <c r="G43" s="213">
        <v>6</v>
      </c>
      <c r="H43" s="214">
        <f t="shared" si="10"/>
        <v>28</v>
      </c>
      <c r="I43" s="219">
        <f t="shared" si="11"/>
        <v>5</v>
      </c>
      <c r="J43" s="199"/>
      <c r="K43" s="242"/>
      <c r="L43" s="243"/>
      <c r="M43" s="243"/>
      <c r="N43" s="243"/>
      <c r="O43" s="244"/>
      <c r="P43" s="235"/>
      <c r="Q43" s="235"/>
      <c r="R43" s="235"/>
      <c r="S43" s="235"/>
    </row>
    <row r="44" spans="1:20" ht="17.5" outlineLevel="1">
      <c r="A44" s="212" t="s">
        <v>114</v>
      </c>
      <c r="B44" s="213">
        <v>2</v>
      </c>
      <c r="C44" s="213">
        <v>6</v>
      </c>
      <c r="D44" s="213">
        <v>6</v>
      </c>
      <c r="E44" s="213">
        <v>8</v>
      </c>
      <c r="F44" s="213">
        <v>25</v>
      </c>
      <c r="G44" s="213">
        <v>15</v>
      </c>
      <c r="H44" s="214">
        <f t="shared" si="10"/>
        <v>62</v>
      </c>
      <c r="I44" s="219">
        <f t="shared" si="11"/>
        <v>38</v>
      </c>
      <c r="J44" s="199"/>
      <c r="K44" s="242"/>
      <c r="L44" s="243"/>
      <c r="M44" s="243"/>
      <c r="N44" s="243"/>
      <c r="O44" s="244"/>
      <c r="P44" s="235"/>
      <c r="Q44" s="235"/>
      <c r="R44" s="235"/>
      <c r="S44" s="235"/>
    </row>
    <row r="45" spans="1:20" ht="17.5" outlineLevel="1">
      <c r="A45" s="212" t="s">
        <v>115</v>
      </c>
      <c r="B45" s="213">
        <v>0</v>
      </c>
      <c r="C45" s="213">
        <v>4</v>
      </c>
      <c r="D45" s="213">
        <v>4</v>
      </c>
      <c r="E45" s="213">
        <v>6</v>
      </c>
      <c r="F45" s="213">
        <v>9</v>
      </c>
      <c r="G45" s="213">
        <v>7</v>
      </c>
      <c r="H45" s="214">
        <f t="shared" si="10"/>
        <v>30</v>
      </c>
      <c r="I45" s="219">
        <f t="shared" si="11"/>
        <v>-10</v>
      </c>
      <c r="J45" s="199"/>
      <c r="K45" s="242"/>
      <c r="L45" s="243"/>
      <c r="M45" s="243"/>
      <c r="N45" s="243"/>
      <c r="O45" s="244"/>
      <c r="P45" s="235"/>
      <c r="Q45" s="235"/>
      <c r="R45" s="235"/>
      <c r="S45" s="235"/>
    </row>
    <row r="46" spans="1:20" ht="17.5" outlineLevel="1">
      <c r="A46" s="204" t="s">
        <v>116</v>
      </c>
      <c r="B46" s="215">
        <f>SUM(B40:B45)</f>
        <v>30</v>
      </c>
      <c r="C46" s="215">
        <f t="shared" ref="C46:H46" si="12">SUM(C40:C45)</f>
        <v>37</v>
      </c>
      <c r="D46" s="215">
        <f t="shared" si="12"/>
        <v>35</v>
      </c>
      <c r="E46" s="215">
        <f t="shared" si="12"/>
        <v>57</v>
      </c>
      <c r="F46" s="215">
        <f t="shared" si="12"/>
        <v>87</v>
      </c>
      <c r="G46" s="215">
        <f t="shared" si="12"/>
        <v>58</v>
      </c>
      <c r="H46" s="216">
        <f t="shared" si="12"/>
        <v>304</v>
      </c>
      <c r="I46" s="219">
        <f t="shared" si="11"/>
        <v>68</v>
      </c>
      <c r="J46" s="199"/>
      <c r="K46" s="240"/>
      <c r="L46" s="245"/>
      <c r="M46" s="245"/>
      <c r="N46" s="245"/>
      <c r="O46" s="245"/>
      <c r="P46" s="235"/>
      <c r="Q46" s="235"/>
      <c r="R46" s="235"/>
      <c r="S46" s="235"/>
    </row>
    <row r="47" spans="1:20" outlineLevel="1">
      <c r="K47" s="234"/>
      <c r="L47" s="234"/>
      <c r="M47" s="234"/>
      <c r="N47" s="234"/>
      <c r="O47" s="235"/>
      <c r="P47" s="235"/>
      <c r="Q47" s="235"/>
      <c r="R47" s="235"/>
      <c r="S47" s="235"/>
    </row>
    <row r="48" spans="1:20" outlineLevel="1"/>
    <row r="49" spans="1:23" ht="22.5" outlineLevel="1">
      <c r="A49" s="197" t="s">
        <v>175</v>
      </c>
      <c r="K49" s="234"/>
      <c r="L49" s="234"/>
      <c r="M49" s="234"/>
      <c r="N49" s="234"/>
      <c r="O49" s="235"/>
      <c r="P49" s="235"/>
      <c r="Q49" s="236"/>
      <c r="R49" s="235"/>
      <c r="S49" s="235"/>
    </row>
    <row r="50" spans="1:23" ht="17.5" customHeight="1" outlineLevel="1">
      <c r="A50" s="200" t="s">
        <v>106</v>
      </c>
      <c r="B50" s="279">
        <v>45839</v>
      </c>
      <c r="C50" s="279">
        <v>45840</v>
      </c>
      <c r="D50" s="279">
        <v>45841</v>
      </c>
      <c r="E50" s="279">
        <v>45842</v>
      </c>
      <c r="F50" s="279">
        <v>45843</v>
      </c>
      <c r="G50" s="279">
        <v>45844</v>
      </c>
      <c r="H50" s="279" t="s">
        <v>107</v>
      </c>
      <c r="I50" s="466" t="s">
        <v>130</v>
      </c>
      <c r="J50" s="246"/>
      <c r="K50" s="466" t="s">
        <v>131</v>
      </c>
      <c r="L50" s="238"/>
      <c r="M50" s="238"/>
      <c r="N50" s="238"/>
      <c r="O50" s="239"/>
      <c r="P50" s="235"/>
      <c r="Q50" s="235"/>
      <c r="R50" s="235"/>
      <c r="S50" s="235"/>
    </row>
    <row r="51" spans="1:23" ht="16.5" customHeight="1" outlineLevel="1">
      <c r="A51" s="204" t="s">
        <v>108</v>
      </c>
      <c r="B51" s="280" t="s">
        <v>109</v>
      </c>
      <c r="C51" s="280" t="s">
        <v>109</v>
      </c>
      <c r="D51" s="280" t="s">
        <v>109</v>
      </c>
      <c r="E51" s="280" t="s">
        <v>109</v>
      </c>
      <c r="F51" s="280" t="s">
        <v>109</v>
      </c>
      <c r="G51" s="280" t="s">
        <v>109</v>
      </c>
      <c r="H51" s="280" t="s">
        <v>118</v>
      </c>
      <c r="I51" s="466"/>
      <c r="J51" s="246"/>
      <c r="K51" s="466"/>
      <c r="L51" s="241"/>
      <c r="M51" s="241"/>
      <c r="N51" s="241"/>
      <c r="O51" s="241"/>
      <c r="P51" s="235"/>
      <c r="Q51" s="235"/>
      <c r="R51" s="235"/>
      <c r="S51" s="235"/>
    </row>
    <row r="52" spans="1:23" ht="16.5" customHeight="1" outlineLevel="1">
      <c r="A52" s="208" t="s">
        <v>110</v>
      </c>
      <c r="B52" s="281">
        <v>8</v>
      </c>
      <c r="C52" s="281">
        <v>11</v>
      </c>
      <c r="D52" s="281">
        <v>5</v>
      </c>
      <c r="E52" s="281">
        <v>12</v>
      </c>
      <c r="F52" s="281">
        <v>16</v>
      </c>
      <c r="G52" s="281">
        <v>8</v>
      </c>
      <c r="H52" s="346">
        <f t="shared" ref="H52:H57" si="13">SUM(B52:G52)</f>
        <v>60</v>
      </c>
      <c r="I52" s="219">
        <f>H52-H40</f>
        <v>-29</v>
      </c>
      <c r="J52" s="246"/>
      <c r="K52" s="337">
        <f t="shared" ref="K52:K58" si="14">H52-H16</f>
        <v>12</v>
      </c>
      <c r="L52" s="243"/>
      <c r="M52" s="243"/>
      <c r="N52" s="243"/>
      <c r="O52" s="244"/>
      <c r="P52" s="235"/>
      <c r="Q52" s="235"/>
      <c r="R52" s="235"/>
      <c r="S52" s="235"/>
    </row>
    <row r="53" spans="1:23" ht="16.5" customHeight="1" outlineLevel="1">
      <c r="A53" s="212" t="s">
        <v>111</v>
      </c>
      <c r="B53" s="282">
        <v>8</v>
      </c>
      <c r="C53" s="282">
        <v>8</v>
      </c>
      <c r="D53" s="282">
        <v>3</v>
      </c>
      <c r="E53" s="282">
        <v>10</v>
      </c>
      <c r="F53" s="282">
        <v>15</v>
      </c>
      <c r="G53" s="282">
        <v>27</v>
      </c>
      <c r="H53" s="347">
        <f t="shared" si="13"/>
        <v>71</v>
      </c>
      <c r="I53" s="337">
        <f t="shared" ref="I53:I58" si="15">H53-H41</f>
        <v>11</v>
      </c>
      <c r="J53" s="246"/>
      <c r="K53" s="219">
        <f t="shared" si="14"/>
        <v>-16</v>
      </c>
      <c r="L53" s="243"/>
      <c r="M53" s="243"/>
      <c r="N53" s="243"/>
      <c r="O53" s="244"/>
      <c r="P53" s="235"/>
      <c r="Q53" s="235"/>
      <c r="R53" s="235"/>
      <c r="S53" s="235"/>
    </row>
    <row r="54" spans="1:23" ht="16.5" customHeight="1" outlineLevel="1">
      <c r="A54" s="212" t="s">
        <v>112</v>
      </c>
      <c r="B54" s="282">
        <v>2</v>
      </c>
      <c r="C54" s="282">
        <v>2</v>
      </c>
      <c r="D54" s="282">
        <v>4</v>
      </c>
      <c r="E54" s="282">
        <v>1</v>
      </c>
      <c r="F54" s="282">
        <v>5</v>
      </c>
      <c r="G54" s="282">
        <v>7</v>
      </c>
      <c r="H54" s="347">
        <f t="shared" si="13"/>
        <v>21</v>
      </c>
      <c r="I54" s="219">
        <f t="shared" si="15"/>
        <v>-14</v>
      </c>
      <c r="J54" s="246"/>
      <c r="K54" s="337">
        <f t="shared" si="14"/>
        <v>7</v>
      </c>
      <c r="L54" s="243"/>
      <c r="M54" s="243"/>
      <c r="N54" s="243"/>
      <c r="O54" s="244"/>
      <c r="P54" s="235"/>
      <c r="Q54" s="235"/>
      <c r="R54" s="235"/>
      <c r="S54" s="235"/>
    </row>
    <row r="55" spans="1:23" ht="16.5" customHeight="1" outlineLevel="1">
      <c r="A55" s="212" t="s">
        <v>113</v>
      </c>
      <c r="B55" s="282">
        <v>5</v>
      </c>
      <c r="C55" s="282">
        <v>6</v>
      </c>
      <c r="D55" s="282"/>
      <c r="E55" s="282">
        <v>1</v>
      </c>
      <c r="F55" s="282">
        <v>3</v>
      </c>
      <c r="G55" s="282">
        <v>3</v>
      </c>
      <c r="H55" s="347">
        <f t="shared" si="13"/>
        <v>18</v>
      </c>
      <c r="I55" s="219">
        <f t="shared" si="15"/>
        <v>-10</v>
      </c>
      <c r="J55" s="246"/>
      <c r="K55" s="219">
        <f t="shared" si="14"/>
        <v>-5</v>
      </c>
      <c r="L55" s="243"/>
      <c r="M55" s="243"/>
      <c r="N55" s="243"/>
      <c r="O55" s="244"/>
      <c r="P55" s="235"/>
      <c r="Q55" s="235"/>
      <c r="R55" s="235"/>
      <c r="S55" s="235"/>
    </row>
    <row r="56" spans="1:23" ht="16.5" customHeight="1" outlineLevel="1">
      <c r="A56" s="212" t="s">
        <v>114</v>
      </c>
      <c r="B56" s="282">
        <v>4</v>
      </c>
      <c r="C56" s="282">
        <v>1</v>
      </c>
      <c r="D56" s="282">
        <v>3</v>
      </c>
      <c r="E56" s="282">
        <v>11</v>
      </c>
      <c r="F56" s="282">
        <v>10</v>
      </c>
      <c r="G56" s="282">
        <v>9</v>
      </c>
      <c r="H56" s="347">
        <f t="shared" si="13"/>
        <v>38</v>
      </c>
      <c r="I56" s="219">
        <f t="shared" si="15"/>
        <v>-24</v>
      </c>
      <c r="J56" s="246"/>
      <c r="K56" s="337">
        <f t="shared" si="14"/>
        <v>14</v>
      </c>
      <c r="L56" s="243"/>
      <c r="M56" s="243"/>
      <c r="N56" s="243"/>
      <c r="O56" s="244"/>
      <c r="P56" s="235"/>
      <c r="Q56" s="235"/>
      <c r="R56" s="235"/>
      <c r="S56" s="235"/>
    </row>
    <row r="57" spans="1:23" ht="16.5" customHeight="1" outlineLevel="1">
      <c r="A57" s="212" t="s">
        <v>115</v>
      </c>
      <c r="B57" s="282"/>
      <c r="C57" s="282">
        <v>4</v>
      </c>
      <c r="D57" s="282">
        <v>6</v>
      </c>
      <c r="E57" s="282">
        <v>4</v>
      </c>
      <c r="F57" s="282">
        <v>12</v>
      </c>
      <c r="G57" s="282">
        <v>2</v>
      </c>
      <c r="H57" s="347">
        <f t="shared" si="13"/>
        <v>28</v>
      </c>
      <c r="I57" s="219">
        <f t="shared" si="15"/>
        <v>-2</v>
      </c>
      <c r="J57" s="246"/>
      <c r="K57" s="219">
        <f t="shared" si="14"/>
        <v>-12</v>
      </c>
      <c r="L57" s="243"/>
      <c r="M57" s="243"/>
      <c r="N57" s="243"/>
      <c r="O57" s="244"/>
      <c r="P57" s="235"/>
      <c r="Q57" s="235"/>
      <c r="R57" s="235"/>
      <c r="S57" s="235"/>
    </row>
    <row r="58" spans="1:23" ht="16.5" customHeight="1" outlineLevel="1">
      <c r="A58" s="204" t="s">
        <v>116</v>
      </c>
      <c r="B58" s="283">
        <f>SUM(B52:B57)</f>
        <v>27</v>
      </c>
      <c r="C58" s="283">
        <f t="shared" ref="C58:G58" si="16">SUM(C52:C57)</f>
        <v>32</v>
      </c>
      <c r="D58" s="283">
        <f t="shared" si="16"/>
        <v>21</v>
      </c>
      <c r="E58" s="283">
        <f t="shared" si="16"/>
        <v>39</v>
      </c>
      <c r="F58" s="283">
        <f t="shared" si="16"/>
        <v>61</v>
      </c>
      <c r="G58" s="283">
        <f t="shared" si="16"/>
        <v>56</v>
      </c>
      <c r="H58" s="283">
        <f t="shared" ref="H58" si="17">SUM(H52:H57)</f>
        <v>236</v>
      </c>
      <c r="I58" s="219">
        <f t="shared" si="15"/>
        <v>-68</v>
      </c>
      <c r="J58" s="246"/>
      <c r="K58" s="337">
        <f t="shared" si="14"/>
        <v>0</v>
      </c>
      <c r="L58" s="245"/>
      <c r="M58" s="245"/>
      <c r="N58" s="245"/>
      <c r="O58" s="245"/>
      <c r="P58" s="235"/>
      <c r="Q58" s="235"/>
      <c r="R58" s="235"/>
      <c r="S58" s="235"/>
    </row>
    <row r="59" spans="1:23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34"/>
      <c r="L59" s="234"/>
      <c r="M59" s="234"/>
      <c r="N59" s="234"/>
      <c r="O59" s="235"/>
      <c r="P59" s="235"/>
      <c r="Q59" s="235"/>
      <c r="R59" s="235"/>
      <c r="S59" s="235"/>
    </row>
    <row r="60" spans="1:23" ht="8.5" customHeight="1">
      <c r="A60" s="220"/>
      <c r="B60" s="221"/>
      <c r="C60" s="221"/>
      <c r="D60" s="221"/>
      <c r="E60" s="221"/>
      <c r="F60" s="221"/>
      <c r="G60" s="221"/>
      <c r="H60" s="221"/>
      <c r="I60" s="221"/>
      <c r="J60" s="221"/>
      <c r="K60" s="234"/>
      <c r="L60" s="234"/>
      <c r="M60" s="234"/>
      <c r="N60" s="234"/>
      <c r="O60" s="235"/>
      <c r="P60" s="235"/>
      <c r="Q60" s="235"/>
      <c r="R60" s="235"/>
      <c r="S60" s="235"/>
    </row>
    <row r="61" spans="1:23" ht="22.5">
      <c r="A61" s="197" t="s">
        <v>144</v>
      </c>
      <c r="I61" s="221"/>
      <c r="J61" s="221"/>
      <c r="K61" s="234"/>
      <c r="L61" s="234"/>
      <c r="M61" s="197" t="s">
        <v>145</v>
      </c>
      <c r="O61" s="198"/>
      <c r="P61" s="198"/>
      <c r="Q61" s="198"/>
      <c r="R61" s="198"/>
      <c r="S61" s="198"/>
      <c r="T61" s="198"/>
      <c r="U61" s="221"/>
    </row>
    <row r="62" spans="1:23" ht="20" customHeight="1">
      <c r="A62" s="200" t="s">
        <v>106</v>
      </c>
      <c r="B62" s="279">
        <v>45839</v>
      </c>
      <c r="C62" s="279">
        <v>45840</v>
      </c>
      <c r="D62" s="279">
        <v>45841</v>
      </c>
      <c r="E62" s="279">
        <v>45842</v>
      </c>
      <c r="F62" s="279">
        <v>45843</v>
      </c>
      <c r="G62" s="279">
        <v>45844</v>
      </c>
      <c r="H62" s="339" t="s">
        <v>107</v>
      </c>
      <c r="I62" s="466" t="s">
        <v>177</v>
      </c>
      <c r="J62" s="466" t="s">
        <v>176</v>
      </c>
      <c r="K62" s="466" t="s">
        <v>170</v>
      </c>
      <c r="L62" s="234"/>
      <c r="M62" s="200" t="s">
        <v>106</v>
      </c>
      <c r="N62" s="279">
        <v>45839</v>
      </c>
      <c r="O62" s="279">
        <v>45840</v>
      </c>
      <c r="P62" s="201">
        <v>45841</v>
      </c>
      <c r="Q62" s="201">
        <v>45842</v>
      </c>
      <c r="R62" s="201">
        <v>45843</v>
      </c>
      <c r="S62" s="201">
        <v>45844</v>
      </c>
      <c r="T62" s="202" t="s">
        <v>107</v>
      </c>
      <c r="U62" s="466" t="s">
        <v>168</v>
      </c>
      <c r="V62" s="466" t="s">
        <v>169</v>
      </c>
      <c r="W62" s="466" t="s">
        <v>170</v>
      </c>
    </row>
    <row r="63" spans="1:23" s="288" customFormat="1" ht="20" customHeight="1">
      <c r="A63" s="286" t="s">
        <v>108</v>
      </c>
      <c r="B63" s="289" t="s">
        <v>128</v>
      </c>
      <c r="C63" s="289" t="s">
        <v>128</v>
      </c>
      <c r="D63" s="289" t="s">
        <v>128</v>
      </c>
      <c r="E63" s="289" t="s">
        <v>128</v>
      </c>
      <c r="F63" s="289" t="s">
        <v>128</v>
      </c>
      <c r="G63" s="289" t="s">
        <v>128</v>
      </c>
      <c r="H63" s="340" t="s">
        <v>172</v>
      </c>
      <c r="I63" s="466"/>
      <c r="J63" s="466"/>
      <c r="K63" s="466"/>
      <c r="L63" s="234"/>
      <c r="M63" s="286" t="s">
        <v>108</v>
      </c>
      <c r="N63" s="280" t="s">
        <v>129</v>
      </c>
      <c r="O63" s="280" t="s">
        <v>129</v>
      </c>
      <c r="P63" s="205" t="s">
        <v>129</v>
      </c>
      <c r="Q63" s="205" t="s">
        <v>129</v>
      </c>
      <c r="R63" s="205" t="s">
        <v>129</v>
      </c>
      <c r="S63" s="205" t="s">
        <v>129</v>
      </c>
      <c r="T63" s="287" t="s">
        <v>118</v>
      </c>
      <c r="U63" s="466"/>
      <c r="V63" s="466"/>
      <c r="W63" s="466"/>
    </row>
    <row r="64" spans="1:23" ht="15.5">
      <c r="A64" s="208" t="s">
        <v>110</v>
      </c>
      <c r="B64" s="290">
        <v>43021.37</v>
      </c>
      <c r="C64" s="290">
        <v>53615.220000000008</v>
      </c>
      <c r="D64" s="290">
        <v>50205.07</v>
      </c>
      <c r="E64" s="290">
        <v>68962.959999999992</v>
      </c>
      <c r="F64" s="290">
        <v>114505.48</v>
      </c>
      <c r="G64" s="290">
        <v>27861.29</v>
      </c>
      <c r="H64" s="342">
        <f t="shared" ref="H64:H69" si="18">SUM(B64:G64)</f>
        <v>358171.38999999996</v>
      </c>
      <c r="I64" s="331">
        <f>SUMIFS(B64:G64,$B$71:$G$71,"A")-SUMIFS(B28:G28,$B$71:$G$71,"A")</f>
        <v>-306828.61000000004</v>
      </c>
      <c r="J64" s="332">
        <f>H64/SUMIFS(B28:G28,$B$71:$G$71,"A")</f>
        <v>0.53860359398496238</v>
      </c>
      <c r="K64" s="330">
        <f>H64/('2025第三季度指标'!H6*1000)</f>
        <v>0.11553915806451612</v>
      </c>
      <c r="L64" s="234"/>
      <c r="M64" s="208" t="s">
        <v>110</v>
      </c>
      <c r="N64" s="290">
        <v>21321.05</v>
      </c>
      <c r="O64" s="290">
        <v>1197</v>
      </c>
      <c r="P64" s="278"/>
      <c r="Q64" s="278"/>
      <c r="R64" s="278"/>
      <c r="S64" s="278"/>
      <c r="T64" s="210">
        <f t="shared" ref="T64:T69" si="19">SUM(N64:S64)</f>
        <v>22518.05</v>
      </c>
      <c r="U64" s="331">
        <f>N64+O64-N28-O28</f>
        <v>-90641.95</v>
      </c>
      <c r="V64" s="332">
        <f>T64/(N28+O28)</f>
        <v>0.19899301873453518</v>
      </c>
      <c r="W64" s="330">
        <f>T64/('2025第三季度指标'!H26*1000)</f>
        <v>7.3805473615208127E-3</v>
      </c>
    </row>
    <row r="65" spans="1:23" ht="15.5">
      <c r="A65" s="212" t="s">
        <v>111</v>
      </c>
      <c r="B65" s="282">
        <v>53685.9</v>
      </c>
      <c r="C65" s="282">
        <v>67658.360000000015</v>
      </c>
      <c r="D65" s="282">
        <v>26075.75</v>
      </c>
      <c r="E65" s="282">
        <v>32161.119999999995</v>
      </c>
      <c r="F65" s="282">
        <v>110662.04</v>
      </c>
      <c r="G65" s="282">
        <v>232819.46999999997</v>
      </c>
      <c r="H65" s="343">
        <f t="shared" si="18"/>
        <v>523062.63999999996</v>
      </c>
      <c r="I65" s="333">
        <f t="shared" ref="I65:I69" si="20">SUMIFS(B65:G65,$B$71:$G$71,"A")-SUMIFS(B29:G29,$B$71:$G$71,"A")</f>
        <v>293062.63999999996</v>
      </c>
      <c r="J65" s="334">
        <f t="shared" ref="J65:J70" si="21">H65/SUMIFS(B29:G29,$B$71:$G$71,"A")</f>
        <v>2.2741853913043477</v>
      </c>
      <c r="K65" s="330">
        <f>H65/('2025第三季度指标'!H9*1000)</f>
        <v>0.27529612631578942</v>
      </c>
      <c r="L65" s="234"/>
      <c r="M65" s="212" t="s">
        <v>111</v>
      </c>
      <c r="N65" s="282">
        <v>65395</v>
      </c>
      <c r="O65" s="282">
        <v>56901</v>
      </c>
      <c r="P65" s="213"/>
      <c r="Q65" s="213"/>
      <c r="R65" s="213"/>
      <c r="S65" s="213"/>
      <c r="T65" s="214">
        <f t="shared" si="19"/>
        <v>122296</v>
      </c>
      <c r="U65" s="285">
        <f t="shared" ref="U65:U70" si="22">N65+O65-N29-O29</f>
        <v>20596</v>
      </c>
      <c r="V65" s="334">
        <f t="shared" ref="V65:V70" si="23">T65/(N29+O29)</f>
        <v>1.2025172074729598</v>
      </c>
      <c r="W65" s="330">
        <f>T65/('2025第三季度指标'!H29*1000)</f>
        <v>6.6285094850948509E-2</v>
      </c>
    </row>
    <row r="66" spans="1:23" ht="15.5">
      <c r="A66" s="212" t="s">
        <v>112</v>
      </c>
      <c r="B66" s="282">
        <v>1906.8499999999997</v>
      </c>
      <c r="C66" s="282">
        <v>4467</v>
      </c>
      <c r="D66" s="282">
        <v>35980</v>
      </c>
      <c r="E66" s="282">
        <v>6800</v>
      </c>
      <c r="F66" s="282">
        <v>11955.359999999997</v>
      </c>
      <c r="G66" s="282">
        <v>45202.720000000001</v>
      </c>
      <c r="H66" s="343">
        <f t="shared" si="18"/>
        <v>106311.93</v>
      </c>
      <c r="I66" s="331">
        <f t="shared" si="20"/>
        <v>-34688.070000000007</v>
      </c>
      <c r="J66" s="332">
        <f t="shared" si="21"/>
        <v>0.75398531914893607</v>
      </c>
      <c r="K66" s="330">
        <f>H66/('2025第三季度指标'!H11*1000)</f>
        <v>0.13988411842105261</v>
      </c>
      <c r="L66" s="234"/>
      <c r="M66" s="212" t="s">
        <v>112</v>
      </c>
      <c r="N66" s="282">
        <v>1274</v>
      </c>
      <c r="O66" s="282">
        <v>3888</v>
      </c>
      <c r="P66" s="213"/>
      <c r="Q66" s="213"/>
      <c r="R66" s="213"/>
      <c r="S66" s="213"/>
      <c r="T66" s="214">
        <f t="shared" si="19"/>
        <v>5162</v>
      </c>
      <c r="U66" s="284">
        <f t="shared" si="22"/>
        <v>-26538</v>
      </c>
      <c r="V66" s="332">
        <f t="shared" si="23"/>
        <v>0.16283911671924289</v>
      </c>
      <c r="W66" s="330">
        <f>T66/('2025第三季度指标'!H31*1000)</f>
        <v>7.149584487534626E-3</v>
      </c>
    </row>
    <row r="67" spans="1:23" ht="15.5">
      <c r="A67" s="212" t="s">
        <v>113</v>
      </c>
      <c r="B67" s="282">
        <v>30170.65</v>
      </c>
      <c r="C67" s="282">
        <v>50869.41</v>
      </c>
      <c r="D67" s="282">
        <v>0</v>
      </c>
      <c r="E67" s="282">
        <v>20400</v>
      </c>
      <c r="F67" s="282">
        <v>2437.4</v>
      </c>
      <c r="G67" s="282">
        <v>17709.79</v>
      </c>
      <c r="H67" s="343">
        <f t="shared" si="18"/>
        <v>121587.25</v>
      </c>
      <c r="I67" s="333">
        <f t="shared" si="20"/>
        <v>22587.25</v>
      </c>
      <c r="J67" s="334">
        <f t="shared" si="21"/>
        <v>1.2281540404040403</v>
      </c>
      <c r="K67" s="330">
        <f>H67/('2025第三季度指标'!H10*1000)</f>
        <v>0.21712008928571427</v>
      </c>
      <c r="L67" s="234"/>
      <c r="M67" s="212" t="s">
        <v>113</v>
      </c>
      <c r="N67" s="282">
        <v>10497</v>
      </c>
      <c r="O67" s="282">
        <v>40305.199999999997</v>
      </c>
      <c r="P67" s="213"/>
      <c r="Q67" s="213"/>
      <c r="R67" s="213"/>
      <c r="S67" s="213"/>
      <c r="T67" s="214">
        <f t="shared" si="19"/>
        <v>50802.2</v>
      </c>
      <c r="U67" s="285">
        <f t="shared" si="22"/>
        <v>22502.199999999997</v>
      </c>
      <c r="V67" s="334">
        <f t="shared" si="23"/>
        <v>1.7951307420494698</v>
      </c>
      <c r="W67" s="330">
        <f>T67/('2025第三季度指标'!H30*1000)</f>
        <v>9.236763636363636E-2</v>
      </c>
    </row>
    <row r="68" spans="1:23" ht="15.5">
      <c r="A68" s="212" t="s">
        <v>114</v>
      </c>
      <c r="B68" s="282">
        <v>20095.57</v>
      </c>
      <c r="C68" s="282">
        <v>2215.6999999999998</v>
      </c>
      <c r="D68" s="282">
        <v>15644.45</v>
      </c>
      <c r="E68" s="282">
        <v>66434.119999999981</v>
      </c>
      <c r="F68" s="282">
        <v>38865.64</v>
      </c>
      <c r="G68" s="282">
        <v>46594.060000000012</v>
      </c>
      <c r="H68" s="343">
        <f t="shared" si="18"/>
        <v>189849.53999999998</v>
      </c>
      <c r="I68" s="331">
        <f t="shared" si="20"/>
        <v>-155150.46000000002</v>
      </c>
      <c r="J68" s="332">
        <f t="shared" si="21"/>
        <v>0.55028852173913034</v>
      </c>
      <c r="K68" s="330">
        <f>H68/('2025第三季度指标'!H13*1000)</f>
        <v>0.12656635999999999</v>
      </c>
      <c r="L68" s="234"/>
      <c r="M68" s="212" t="s">
        <v>114</v>
      </c>
      <c r="N68" s="282">
        <v>19687.999999999902</v>
      </c>
      <c r="O68" s="282">
        <v>5215.0200000000004</v>
      </c>
      <c r="P68" s="213"/>
      <c r="Q68" s="213"/>
      <c r="R68" s="213"/>
      <c r="S68" s="213"/>
      <c r="T68" s="214">
        <f t="shared" si="19"/>
        <v>24903.019999999902</v>
      </c>
      <c r="U68" s="285">
        <f t="shared" si="22"/>
        <v>10570.353333333238</v>
      </c>
      <c r="V68" s="332">
        <f t="shared" si="23"/>
        <v>1.7375008139913417</v>
      </c>
      <c r="W68" s="330">
        <f>T68/('2025第三季度指标'!H33*1000)</f>
        <v>2.4903019999999901E-2</v>
      </c>
    </row>
    <row r="69" spans="1:23" ht="15.5">
      <c r="A69" s="212" t="s">
        <v>115</v>
      </c>
      <c r="B69" s="282">
        <v>0</v>
      </c>
      <c r="C69" s="282">
        <v>21422.15</v>
      </c>
      <c r="D69" s="282">
        <v>23080.09</v>
      </c>
      <c r="E69" s="282">
        <v>13359.159999999998</v>
      </c>
      <c r="F69" s="282">
        <v>25910.459999999995</v>
      </c>
      <c r="G69" s="282">
        <v>1799.69</v>
      </c>
      <c r="H69" s="343">
        <f t="shared" si="18"/>
        <v>85571.55</v>
      </c>
      <c r="I69" s="333">
        <f t="shared" si="20"/>
        <v>571.55000000000291</v>
      </c>
      <c r="J69" s="334">
        <f t="shared" si="21"/>
        <v>1.0067241176470589</v>
      </c>
      <c r="K69" s="330">
        <f>H69/('2025第三季度指标'!H14*1000)</f>
        <v>0.17114309999999999</v>
      </c>
      <c r="L69" s="234"/>
      <c r="M69" s="212" t="s">
        <v>115</v>
      </c>
      <c r="N69" s="282"/>
      <c r="O69" s="282">
        <v>24001</v>
      </c>
      <c r="P69" s="213"/>
      <c r="Q69" s="213"/>
      <c r="R69" s="213"/>
      <c r="S69" s="213"/>
      <c r="T69" s="214">
        <f t="shared" si="19"/>
        <v>24001</v>
      </c>
      <c r="U69" s="285">
        <f t="shared" si="22"/>
        <v>14001</v>
      </c>
      <c r="V69" s="334">
        <f t="shared" si="23"/>
        <v>2.4001000000000001</v>
      </c>
      <c r="W69" s="330">
        <f>T69/('2025第三季度指标'!H34*1000)</f>
        <v>5.3335555555555553E-2</v>
      </c>
    </row>
    <row r="70" spans="1:23" ht="15.5">
      <c r="A70" s="204" t="s">
        <v>116</v>
      </c>
      <c r="B70" s="283">
        <f>SUM(B64:B69)</f>
        <v>148880.34000000003</v>
      </c>
      <c r="C70" s="283">
        <f t="shared" ref="C70:H70" si="24">SUM(C64:C69)</f>
        <v>200247.84000000003</v>
      </c>
      <c r="D70" s="283">
        <f t="shared" si="24"/>
        <v>150985.36000000002</v>
      </c>
      <c r="E70" s="283">
        <f t="shared" si="24"/>
        <v>208117.35999999996</v>
      </c>
      <c r="F70" s="283">
        <f t="shared" si="24"/>
        <v>304336.38</v>
      </c>
      <c r="G70" s="283">
        <f t="shared" si="24"/>
        <v>371987.01999999996</v>
      </c>
      <c r="H70" s="341">
        <f t="shared" si="24"/>
        <v>1384554.3</v>
      </c>
      <c r="I70" s="331">
        <f>SUMIFS(B70:G70,$B$71:$G$71,"A")-SUMIFS(B34:G34,$B$71:$G$71,"A")</f>
        <v>-180445.69999999995</v>
      </c>
      <c r="J70" s="332">
        <f t="shared" si="21"/>
        <v>0.88469923322683708</v>
      </c>
      <c r="K70" s="330">
        <f>H70/('2025第三季度指标'!H16*1000)</f>
        <v>0.1664127764423077</v>
      </c>
      <c r="L70" s="234"/>
      <c r="M70" s="204" t="s">
        <v>116</v>
      </c>
      <c r="N70" s="283">
        <f>SUM(N64:N69)</f>
        <v>118175.0499999999</v>
      </c>
      <c r="O70" s="283">
        <f t="shared" ref="O70:T70" si="25">SUM(O64:O69)</f>
        <v>131507.22</v>
      </c>
      <c r="P70" s="215">
        <f t="shared" si="25"/>
        <v>0</v>
      </c>
      <c r="Q70" s="215">
        <f t="shared" si="25"/>
        <v>0</v>
      </c>
      <c r="R70" s="215">
        <f t="shared" si="25"/>
        <v>0</v>
      </c>
      <c r="S70" s="215">
        <f t="shared" si="25"/>
        <v>0</v>
      </c>
      <c r="T70" s="216">
        <f t="shared" si="25"/>
        <v>249682.2699999999</v>
      </c>
      <c r="U70" s="284">
        <f t="shared" si="22"/>
        <v>-49510.396666666769</v>
      </c>
      <c r="V70" s="334">
        <f t="shared" si="23"/>
        <v>0.83452001943006582</v>
      </c>
      <c r="W70" s="330">
        <f>T70/('2025第三季度指标'!H36*1000)</f>
        <v>3.2775304541874495E-2</v>
      </c>
    </row>
    <row r="71" spans="1:23">
      <c r="A71" s="220"/>
      <c r="B71" s="335" t="s">
        <v>171</v>
      </c>
      <c r="C71" s="335" t="s">
        <v>171</v>
      </c>
      <c r="D71" s="335" t="s">
        <v>171</v>
      </c>
      <c r="E71" s="335" t="s">
        <v>171</v>
      </c>
      <c r="F71" s="335" t="s">
        <v>171</v>
      </c>
      <c r="G71" s="335" t="s">
        <v>171</v>
      </c>
      <c r="H71" s="221"/>
      <c r="I71" s="221"/>
      <c r="J71" s="221"/>
      <c r="K71" s="234"/>
      <c r="L71" s="234"/>
      <c r="M71" s="234"/>
      <c r="N71" s="234"/>
      <c r="O71" s="235"/>
      <c r="P71" s="235"/>
      <c r="Q71" s="235"/>
      <c r="R71" s="235"/>
      <c r="S71" s="235"/>
    </row>
    <row r="72" spans="1:23" ht="8.5" customHeight="1">
      <c r="A72" s="220"/>
      <c r="B72" s="221"/>
      <c r="C72" s="221"/>
      <c r="D72" s="221"/>
      <c r="E72" s="221"/>
      <c r="F72" s="221"/>
      <c r="G72" s="221"/>
      <c r="H72" s="221"/>
      <c r="I72" s="221"/>
      <c r="J72" s="221"/>
      <c r="K72" s="234"/>
      <c r="L72" s="234"/>
      <c r="M72" s="234"/>
      <c r="N72" s="234"/>
      <c r="O72" s="235"/>
      <c r="P72" s="235"/>
      <c r="Q72" s="235"/>
      <c r="R72" s="235"/>
      <c r="S72" s="235"/>
    </row>
    <row r="73" spans="1:23">
      <c r="A73" s="220"/>
      <c r="B73" s="221"/>
      <c r="C73" s="221"/>
      <c r="D73" s="221"/>
      <c r="E73" s="221"/>
      <c r="F73" s="221" t="s">
        <v>173</v>
      </c>
      <c r="G73" s="344">
        <v>134159.79999999999</v>
      </c>
      <c r="H73" s="217">
        <f>G73</f>
        <v>134159.79999999999</v>
      </c>
      <c r="I73" s="221"/>
      <c r="J73" s="221"/>
      <c r="K73" s="234"/>
      <c r="L73" s="234"/>
      <c r="M73" s="234"/>
      <c r="N73" s="234"/>
      <c r="O73" s="235"/>
      <c r="P73" s="235"/>
      <c r="Q73" s="235"/>
      <c r="R73" s="235"/>
      <c r="S73" s="235"/>
    </row>
    <row r="74" spans="1:23">
      <c r="A74" s="220"/>
      <c r="B74" s="221"/>
      <c r="C74" s="221"/>
      <c r="D74" s="221"/>
      <c r="E74" s="221"/>
      <c r="F74" s="221" t="s">
        <v>174</v>
      </c>
      <c r="G74" s="344">
        <f>G70-G73</f>
        <v>237827.21999999997</v>
      </c>
      <c r="H74" s="344">
        <f>H70-H73</f>
        <v>1250394.5</v>
      </c>
      <c r="I74" s="221"/>
      <c r="J74" s="345">
        <f>H74/H34</f>
        <v>0.79897412140575075</v>
      </c>
      <c r="K74" s="234"/>
      <c r="L74" s="234"/>
      <c r="M74" s="234"/>
      <c r="N74" s="234"/>
      <c r="O74" s="235"/>
      <c r="P74" s="235"/>
      <c r="Q74" s="235"/>
      <c r="R74" s="235"/>
      <c r="S74" s="235"/>
    </row>
    <row r="75" spans="1:23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34"/>
      <c r="L75" s="234"/>
      <c r="M75" s="234"/>
      <c r="N75" s="234"/>
      <c r="O75" s="235"/>
      <c r="P75" s="235"/>
      <c r="Q75" s="235"/>
      <c r="R75" s="235"/>
      <c r="S75" s="235"/>
    </row>
    <row r="76" spans="1:23">
      <c r="A76" s="220"/>
      <c r="B76" s="221"/>
      <c r="C76" s="221"/>
      <c r="D76" s="221"/>
      <c r="E76" s="221"/>
      <c r="F76" s="221"/>
      <c r="G76" s="221"/>
      <c r="H76" s="221"/>
      <c r="I76" s="221"/>
      <c r="J76" s="221"/>
      <c r="K76" s="234"/>
      <c r="L76" s="234"/>
      <c r="M76" s="234"/>
      <c r="N76" s="234"/>
      <c r="O76" s="235"/>
      <c r="P76" s="235"/>
      <c r="Q76" s="235"/>
      <c r="R76" s="235"/>
      <c r="S76" s="235"/>
    </row>
    <row r="77" spans="1:23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34"/>
      <c r="L77" s="234"/>
      <c r="M77" s="234"/>
      <c r="N77" s="234"/>
      <c r="O77" s="235"/>
      <c r="P77" s="235"/>
      <c r="Q77" s="235"/>
      <c r="R77" s="235"/>
      <c r="S77" s="235"/>
    </row>
    <row r="79" spans="1:23" ht="22.5">
      <c r="A79" s="197" t="s">
        <v>148</v>
      </c>
      <c r="M79" s="197" t="s">
        <v>149</v>
      </c>
      <c r="O79" s="198"/>
      <c r="P79" s="198"/>
      <c r="Q79" s="198"/>
      <c r="R79" s="198"/>
      <c r="S79" s="198"/>
      <c r="T79" s="198"/>
      <c r="U79" s="198"/>
    </row>
    <row r="80" spans="1:23">
      <c r="A80" s="251" t="s">
        <v>106</v>
      </c>
      <c r="B80" s="252">
        <v>45480</v>
      </c>
      <c r="C80" s="252">
        <v>45481</v>
      </c>
      <c r="D80" s="252">
        <v>45482</v>
      </c>
      <c r="E80" s="252">
        <v>45483</v>
      </c>
      <c r="F80" s="252">
        <v>45484</v>
      </c>
      <c r="G80" s="252">
        <v>45485</v>
      </c>
      <c r="H80" s="252">
        <v>45486</v>
      </c>
      <c r="I80" s="253" t="s">
        <v>107</v>
      </c>
      <c r="M80" s="251" t="s">
        <v>106</v>
      </c>
      <c r="N80" s="252">
        <v>45480</v>
      </c>
      <c r="O80" s="252">
        <v>45481</v>
      </c>
      <c r="P80" s="252">
        <v>45482</v>
      </c>
      <c r="Q80" s="252">
        <v>45483</v>
      </c>
      <c r="R80" s="252">
        <v>45484</v>
      </c>
      <c r="S80" s="252">
        <v>45485</v>
      </c>
      <c r="T80" s="252">
        <v>45486</v>
      </c>
      <c r="U80" s="253" t="s">
        <v>107</v>
      </c>
    </row>
    <row r="81" spans="1:21">
      <c r="A81" s="257" t="s">
        <v>108</v>
      </c>
      <c r="B81" s="258" t="s">
        <v>128</v>
      </c>
      <c r="C81" s="258" t="s">
        <v>128</v>
      </c>
      <c r="D81" s="258" t="s">
        <v>128</v>
      </c>
      <c r="E81" s="258" t="s">
        <v>128</v>
      </c>
      <c r="F81" s="258" t="s">
        <v>128</v>
      </c>
      <c r="G81" s="258" t="s">
        <v>128</v>
      </c>
      <c r="H81" s="258" t="s">
        <v>128</v>
      </c>
      <c r="I81" s="259" t="s">
        <v>119</v>
      </c>
      <c r="M81" s="257" t="s">
        <v>108</v>
      </c>
      <c r="N81" s="258" t="s">
        <v>129</v>
      </c>
      <c r="O81" s="258" t="s">
        <v>129</v>
      </c>
      <c r="P81" s="258" t="s">
        <v>129</v>
      </c>
      <c r="Q81" s="258" t="s">
        <v>129</v>
      </c>
      <c r="R81" s="258" t="s">
        <v>129</v>
      </c>
      <c r="S81" s="258" t="s">
        <v>129</v>
      </c>
      <c r="T81" s="258" t="s">
        <v>129</v>
      </c>
      <c r="U81" s="259" t="s">
        <v>119</v>
      </c>
    </row>
    <row r="82" spans="1:21">
      <c r="A82" s="263" t="s">
        <v>110</v>
      </c>
      <c r="B82" s="264">
        <v>125165.73999999999</v>
      </c>
      <c r="C82" s="264">
        <v>156516.18000000002</v>
      </c>
      <c r="D82" s="264">
        <v>35691.71</v>
      </c>
      <c r="E82" s="264">
        <v>52980.670000000013</v>
      </c>
      <c r="F82" s="264">
        <v>103995.33</v>
      </c>
      <c r="G82" s="264">
        <v>108758.21</v>
      </c>
      <c r="H82" s="291">
        <v>107667.09000000003</v>
      </c>
      <c r="I82" s="265">
        <f>SUM(B82:H82)</f>
        <v>690774.93000000017</v>
      </c>
      <c r="M82" s="263" t="s">
        <v>110</v>
      </c>
      <c r="N82" s="264">
        <v>92788.45</v>
      </c>
      <c r="O82" s="264">
        <v>104700</v>
      </c>
      <c r="P82" s="264">
        <v>3911.4</v>
      </c>
      <c r="Q82" s="264">
        <v>82413.05</v>
      </c>
      <c r="R82" s="264">
        <v>58202.8</v>
      </c>
      <c r="S82" s="264">
        <v>44556</v>
      </c>
      <c r="T82" s="291">
        <v>29282.3</v>
      </c>
      <c r="U82" s="265">
        <f>SUM(N82:T82)</f>
        <v>415854</v>
      </c>
    </row>
    <row r="83" spans="1:21">
      <c r="A83" s="269" t="s">
        <v>111</v>
      </c>
      <c r="B83" s="270">
        <v>34906.540000000008</v>
      </c>
      <c r="C83" s="270">
        <v>18096.95</v>
      </c>
      <c r="D83" s="270">
        <v>18462.620000000003</v>
      </c>
      <c r="E83" s="270">
        <v>15340.859999999999</v>
      </c>
      <c r="F83" s="270">
        <v>197616.69000000003</v>
      </c>
      <c r="G83" s="270">
        <v>36221.14</v>
      </c>
      <c r="H83" s="292">
        <v>142117.50000000006</v>
      </c>
      <c r="I83" s="265">
        <f t="shared" ref="I83:I88" si="26">SUM(B83:H83)</f>
        <v>462762.3000000001</v>
      </c>
      <c r="M83" s="269" t="s">
        <v>111</v>
      </c>
      <c r="N83" s="270">
        <v>11577.4</v>
      </c>
      <c r="O83" s="270">
        <v>13446.18</v>
      </c>
      <c r="P83" s="270">
        <v>16597</v>
      </c>
      <c r="Q83" s="270">
        <v>28140</v>
      </c>
      <c r="R83" s="270">
        <v>155529.91999999998</v>
      </c>
      <c r="S83" s="270">
        <v>9360</v>
      </c>
      <c r="T83" s="292">
        <v>121530</v>
      </c>
      <c r="U83" s="265">
        <f t="shared" ref="U83:U88" si="27">SUM(N83:T83)</f>
        <v>356180.5</v>
      </c>
    </row>
    <row r="84" spans="1:21">
      <c r="A84" s="269" t="s">
        <v>112</v>
      </c>
      <c r="B84" s="270">
        <v>18483.95</v>
      </c>
      <c r="C84" s="270">
        <v>0</v>
      </c>
      <c r="D84" s="270">
        <v>13760.88</v>
      </c>
      <c r="E84" s="270">
        <v>103597.47</v>
      </c>
      <c r="F84" s="270">
        <v>0</v>
      </c>
      <c r="G84" s="270">
        <v>16081.04</v>
      </c>
      <c r="H84" s="292">
        <v>25817.24</v>
      </c>
      <c r="I84" s="265">
        <f t="shared" si="26"/>
        <v>177740.58</v>
      </c>
      <c r="M84" s="269" t="s">
        <v>112</v>
      </c>
      <c r="N84" s="270">
        <v>9492</v>
      </c>
      <c r="O84" s="270">
        <v>0</v>
      </c>
      <c r="P84" s="270">
        <v>22834.25</v>
      </c>
      <c r="Q84" s="270">
        <v>77154.7</v>
      </c>
      <c r="R84" s="270">
        <v>0</v>
      </c>
      <c r="S84" s="270">
        <v>2725</v>
      </c>
      <c r="T84" s="292">
        <v>5900</v>
      </c>
      <c r="U84" s="265">
        <f t="shared" si="27"/>
        <v>118105.95</v>
      </c>
    </row>
    <row r="85" spans="1:21">
      <c r="A85" s="269" t="s">
        <v>113</v>
      </c>
      <c r="B85" s="270">
        <v>13779.92</v>
      </c>
      <c r="C85" s="270">
        <v>0</v>
      </c>
      <c r="D85" s="270">
        <v>8637.58</v>
      </c>
      <c r="E85" s="270">
        <v>42142.039999999994</v>
      </c>
      <c r="F85" s="270">
        <v>0</v>
      </c>
      <c r="G85" s="270">
        <v>67033.289999999994</v>
      </c>
      <c r="H85" s="292">
        <v>14734.93</v>
      </c>
      <c r="I85" s="265">
        <f t="shared" si="26"/>
        <v>146327.75999999998</v>
      </c>
      <c r="M85" s="269" t="s">
        <v>113</v>
      </c>
      <c r="N85" s="270">
        <v>48231</v>
      </c>
      <c r="O85" s="270">
        <v>0</v>
      </c>
      <c r="P85" s="270">
        <v>3312</v>
      </c>
      <c r="Q85" s="270">
        <v>38198</v>
      </c>
      <c r="R85" s="270">
        <v>55464</v>
      </c>
      <c r="S85" s="270">
        <v>2403.35</v>
      </c>
      <c r="T85" s="292">
        <v>20916</v>
      </c>
      <c r="U85" s="265">
        <f t="shared" si="27"/>
        <v>168524.35</v>
      </c>
    </row>
    <row r="86" spans="1:21">
      <c r="A86" s="269" t="s">
        <v>114</v>
      </c>
      <c r="B86" s="270">
        <v>8327.94</v>
      </c>
      <c r="C86" s="270">
        <v>0</v>
      </c>
      <c r="D86" s="270">
        <v>0</v>
      </c>
      <c r="E86" s="270">
        <v>5662.92</v>
      </c>
      <c r="F86" s="270">
        <v>63330.3</v>
      </c>
      <c r="G86" s="270">
        <v>85400.750000000015</v>
      </c>
      <c r="H86" s="292">
        <v>58850.26</v>
      </c>
      <c r="I86" s="265">
        <f t="shared" si="26"/>
        <v>221572.17000000004</v>
      </c>
      <c r="M86" s="269" t="s">
        <v>114</v>
      </c>
      <c r="N86" s="270">
        <v>3390</v>
      </c>
      <c r="O86" s="270">
        <v>0</v>
      </c>
      <c r="P86" s="270">
        <v>0</v>
      </c>
      <c r="Q86" s="270">
        <v>4038.2499999999995</v>
      </c>
      <c r="R86" s="270">
        <v>41774.999999999993</v>
      </c>
      <c r="S86" s="270">
        <v>58294.5</v>
      </c>
      <c r="T86" s="292">
        <v>48596.010000000009</v>
      </c>
      <c r="U86" s="265">
        <f t="shared" si="27"/>
        <v>156093.76000000001</v>
      </c>
    </row>
    <row r="87" spans="1:21">
      <c r="A87" s="269" t="s">
        <v>115</v>
      </c>
      <c r="B87" s="270">
        <v>6467.0800000000008</v>
      </c>
      <c r="C87" s="270">
        <v>8496.83</v>
      </c>
      <c r="D87" s="270">
        <v>0</v>
      </c>
      <c r="E87" s="270">
        <v>7581.4399999999987</v>
      </c>
      <c r="F87" s="270">
        <v>600</v>
      </c>
      <c r="G87" s="270">
        <v>6571.2699999999995</v>
      </c>
      <c r="H87" s="292">
        <v>27806.370000000003</v>
      </c>
      <c r="I87" s="265">
        <f t="shared" si="26"/>
        <v>57522.990000000005</v>
      </c>
      <c r="M87" s="269" t="s">
        <v>115</v>
      </c>
      <c r="N87" s="270">
        <v>8078.1999999999989</v>
      </c>
      <c r="O87" s="270">
        <v>30158</v>
      </c>
      <c r="P87" s="270">
        <v>0</v>
      </c>
      <c r="Q87" s="270">
        <v>8800</v>
      </c>
      <c r="R87" s="270">
        <v>0</v>
      </c>
      <c r="S87" s="270">
        <v>0</v>
      </c>
      <c r="T87" s="292">
        <v>10118</v>
      </c>
      <c r="U87" s="265">
        <f t="shared" si="27"/>
        <v>57154.2</v>
      </c>
    </row>
    <row r="88" spans="1:21">
      <c r="A88" s="257" t="s">
        <v>116</v>
      </c>
      <c r="B88" s="272">
        <f>SUM(B82:B87)</f>
        <v>207131.17</v>
      </c>
      <c r="C88" s="272">
        <f t="shared" ref="C88:H88" si="28">SUM(C82:C87)</f>
        <v>183109.96000000002</v>
      </c>
      <c r="D88" s="272">
        <f t="shared" si="28"/>
        <v>76552.790000000008</v>
      </c>
      <c r="E88" s="272">
        <f t="shared" si="28"/>
        <v>227305.4</v>
      </c>
      <c r="F88" s="272">
        <f t="shared" si="28"/>
        <v>365542.32</v>
      </c>
      <c r="G88" s="272">
        <f t="shared" si="28"/>
        <v>320065.7</v>
      </c>
      <c r="H88" s="293">
        <f t="shared" si="28"/>
        <v>376993.39000000007</v>
      </c>
      <c r="I88" s="273">
        <f t="shared" si="26"/>
        <v>1756700.7300000002</v>
      </c>
      <c r="M88" s="257" t="s">
        <v>116</v>
      </c>
      <c r="N88" s="272">
        <f>SUM(N82:N87)</f>
        <v>173557.05</v>
      </c>
      <c r="O88" s="272">
        <f t="shared" ref="O88:T88" si="29">SUM(O82:O87)</f>
        <v>148304.18</v>
      </c>
      <c r="P88" s="272">
        <f t="shared" si="29"/>
        <v>46654.65</v>
      </c>
      <c r="Q88" s="272">
        <f t="shared" si="29"/>
        <v>238744</v>
      </c>
      <c r="R88" s="272">
        <f t="shared" si="29"/>
        <v>310971.71999999997</v>
      </c>
      <c r="S88" s="272">
        <f t="shared" si="29"/>
        <v>117338.85</v>
      </c>
      <c r="T88" s="293">
        <f t="shared" si="29"/>
        <v>236342.31</v>
      </c>
      <c r="U88" s="273">
        <f t="shared" si="27"/>
        <v>1271912.76</v>
      </c>
    </row>
    <row r="89" spans="1:21">
      <c r="G89" s="348" t="s">
        <v>173</v>
      </c>
      <c r="H89" s="349"/>
      <c r="I89" s="350">
        <v>134178.62</v>
      </c>
    </row>
    <row r="90" spans="1:21" ht="22.5">
      <c r="A90" s="247" t="s">
        <v>150</v>
      </c>
      <c r="B90" s="248"/>
      <c r="C90" s="248"/>
      <c r="D90" s="248"/>
      <c r="E90" s="248"/>
      <c r="F90" s="248"/>
      <c r="G90" s="348" t="s">
        <v>174</v>
      </c>
      <c r="H90" s="349"/>
      <c r="I90" s="349">
        <f>I88-I89</f>
        <v>1622522.1100000003</v>
      </c>
      <c r="K90" s="234"/>
      <c r="L90" s="234"/>
      <c r="M90" s="234"/>
      <c r="N90" s="234"/>
      <c r="O90" s="235"/>
      <c r="P90" s="235"/>
      <c r="Q90" s="236"/>
      <c r="R90" s="235"/>
      <c r="S90" s="235"/>
    </row>
    <row r="91" spans="1:21">
      <c r="A91" s="251" t="s">
        <v>106</v>
      </c>
      <c r="B91" s="252">
        <v>45480</v>
      </c>
      <c r="C91" s="252">
        <v>45481</v>
      </c>
      <c r="D91" s="252">
        <v>45482</v>
      </c>
      <c r="E91" s="252">
        <v>45483</v>
      </c>
      <c r="F91" s="252">
        <v>45484</v>
      </c>
      <c r="G91" s="252">
        <v>45485</v>
      </c>
      <c r="H91" s="252">
        <v>45486</v>
      </c>
      <c r="I91" s="253" t="s">
        <v>107</v>
      </c>
      <c r="J91" s="203"/>
      <c r="K91" s="199"/>
      <c r="L91" s="237"/>
      <c r="M91" s="238"/>
      <c r="N91" s="238"/>
      <c r="O91" s="238"/>
      <c r="P91" s="239"/>
      <c r="Q91" s="235"/>
      <c r="R91" s="235"/>
      <c r="S91" s="235"/>
      <c r="T91" s="235"/>
    </row>
    <row r="92" spans="1:21">
      <c r="A92" s="257" t="s">
        <v>108</v>
      </c>
      <c r="B92" s="258" t="s">
        <v>109</v>
      </c>
      <c r="C92" s="258" t="s">
        <v>109</v>
      </c>
      <c r="D92" s="258" t="s">
        <v>109</v>
      </c>
      <c r="E92" s="258" t="s">
        <v>109</v>
      </c>
      <c r="F92" s="258" t="s">
        <v>109</v>
      </c>
      <c r="G92" s="258" t="s">
        <v>109</v>
      </c>
      <c r="H92" s="258" t="s">
        <v>109</v>
      </c>
      <c r="I92" s="259" t="s">
        <v>119</v>
      </c>
      <c r="J92" s="207"/>
      <c r="K92" s="199"/>
      <c r="L92" s="240"/>
      <c r="M92" s="241"/>
      <c r="N92" s="241"/>
      <c r="O92" s="241"/>
      <c r="P92" s="241"/>
      <c r="Q92" s="235"/>
      <c r="R92" s="235"/>
      <c r="S92" s="235"/>
      <c r="T92" s="235"/>
    </row>
    <row r="93" spans="1:21">
      <c r="A93" s="263" t="s">
        <v>110</v>
      </c>
      <c r="B93" s="264">
        <v>15</v>
      </c>
      <c r="C93" s="264">
        <v>9</v>
      </c>
      <c r="D93" s="264">
        <v>10</v>
      </c>
      <c r="E93" s="264">
        <v>15</v>
      </c>
      <c r="F93" s="264">
        <v>12</v>
      </c>
      <c r="G93" s="264">
        <v>9</v>
      </c>
      <c r="H93" s="291">
        <v>16</v>
      </c>
      <c r="I93" s="265">
        <f>SUM(B93:H93)</f>
        <v>86</v>
      </c>
      <c r="J93" s="211"/>
      <c r="K93" s="199"/>
      <c r="L93" s="242"/>
      <c r="M93" s="243"/>
      <c r="N93" s="243"/>
      <c r="O93" s="243"/>
      <c r="P93" s="244"/>
      <c r="Q93" s="235"/>
      <c r="R93" s="235"/>
      <c r="S93" s="235"/>
      <c r="T93" s="235"/>
    </row>
    <row r="94" spans="1:21">
      <c r="A94" s="269" t="s">
        <v>111</v>
      </c>
      <c r="B94" s="270">
        <v>13</v>
      </c>
      <c r="C94" s="270">
        <v>9</v>
      </c>
      <c r="D94" s="270">
        <v>9</v>
      </c>
      <c r="E94" s="270">
        <v>6</v>
      </c>
      <c r="F94" s="270">
        <v>16</v>
      </c>
      <c r="G94" s="270">
        <v>7</v>
      </c>
      <c r="H94" s="292">
        <v>26</v>
      </c>
      <c r="I94" s="265">
        <f t="shared" ref="I94:I99" si="30">SUM(B94:H94)</f>
        <v>86</v>
      </c>
      <c r="J94" s="211"/>
      <c r="K94" s="199"/>
      <c r="L94" s="242"/>
      <c r="M94" s="243"/>
      <c r="N94" s="243"/>
      <c r="O94" s="243"/>
      <c r="P94" s="244"/>
      <c r="Q94" s="235"/>
      <c r="R94" s="235"/>
      <c r="S94" s="235"/>
      <c r="T94" s="235"/>
    </row>
    <row r="95" spans="1:21">
      <c r="A95" s="269" t="s">
        <v>112</v>
      </c>
      <c r="B95" s="270">
        <v>5</v>
      </c>
      <c r="C95" s="270"/>
      <c r="D95" s="270">
        <v>7</v>
      </c>
      <c r="E95" s="270">
        <v>6</v>
      </c>
      <c r="F95" s="270"/>
      <c r="G95" s="270">
        <v>7</v>
      </c>
      <c r="H95" s="292">
        <v>6</v>
      </c>
      <c r="I95" s="265">
        <f t="shared" si="30"/>
        <v>31</v>
      </c>
      <c r="J95" s="211"/>
      <c r="K95" s="199"/>
      <c r="L95" s="242"/>
      <c r="M95" s="243"/>
      <c r="N95" s="243"/>
      <c r="O95" s="243"/>
      <c r="P95" s="244"/>
      <c r="Q95" s="235"/>
      <c r="R95" s="235"/>
      <c r="S95" s="235"/>
      <c r="T95" s="235"/>
    </row>
    <row r="96" spans="1:21">
      <c r="A96" s="269" t="s">
        <v>113</v>
      </c>
      <c r="B96" s="270">
        <v>5</v>
      </c>
      <c r="C96" s="270"/>
      <c r="D96" s="270">
        <v>4</v>
      </c>
      <c r="E96" s="270">
        <v>5</v>
      </c>
      <c r="F96" s="270"/>
      <c r="G96" s="270">
        <v>8</v>
      </c>
      <c r="H96" s="292">
        <v>8</v>
      </c>
      <c r="I96" s="265">
        <f t="shared" si="30"/>
        <v>30</v>
      </c>
      <c r="J96" s="211"/>
      <c r="K96" s="199"/>
      <c r="L96" s="242"/>
      <c r="M96" s="243"/>
      <c r="N96" s="243"/>
      <c r="O96" s="243"/>
      <c r="P96" s="244"/>
      <c r="Q96" s="235"/>
      <c r="R96" s="235"/>
      <c r="S96" s="235"/>
      <c r="T96" s="235"/>
    </row>
    <row r="97" spans="1:22">
      <c r="A97" s="269" t="s">
        <v>114</v>
      </c>
      <c r="B97" s="270">
        <v>5</v>
      </c>
      <c r="C97" s="270"/>
      <c r="D97" s="270"/>
      <c r="E97" s="270">
        <v>4</v>
      </c>
      <c r="F97" s="270">
        <v>8</v>
      </c>
      <c r="G97" s="270">
        <v>12</v>
      </c>
      <c r="H97" s="292">
        <v>13</v>
      </c>
      <c r="I97" s="265">
        <f t="shared" si="30"/>
        <v>42</v>
      </c>
      <c r="J97" s="211"/>
      <c r="K97" s="199"/>
      <c r="L97" s="242"/>
      <c r="M97" s="243"/>
      <c r="N97" s="243"/>
      <c r="O97" s="243"/>
      <c r="P97" s="244"/>
      <c r="Q97" s="235"/>
      <c r="R97" s="235"/>
      <c r="S97" s="235"/>
      <c r="T97" s="235"/>
    </row>
    <row r="98" spans="1:22">
      <c r="A98" s="269" t="s">
        <v>115</v>
      </c>
      <c r="B98" s="270">
        <v>7</v>
      </c>
      <c r="C98" s="270">
        <v>4</v>
      </c>
      <c r="D98" s="270"/>
      <c r="E98" s="270">
        <v>8</v>
      </c>
      <c r="F98" s="270">
        <v>1</v>
      </c>
      <c r="G98" s="270">
        <v>3</v>
      </c>
      <c r="H98" s="292">
        <v>6</v>
      </c>
      <c r="I98" s="265">
        <f t="shared" si="30"/>
        <v>29</v>
      </c>
      <c r="J98" s="211"/>
      <c r="K98" s="199"/>
      <c r="L98" s="242"/>
      <c r="M98" s="243"/>
      <c r="N98" s="243"/>
      <c r="O98" s="243"/>
      <c r="P98" s="244"/>
      <c r="Q98" s="235"/>
      <c r="R98" s="235"/>
      <c r="S98" s="235"/>
      <c r="T98" s="235"/>
    </row>
    <row r="99" spans="1:22">
      <c r="A99" s="257" t="s">
        <v>116</v>
      </c>
      <c r="B99" s="272">
        <f>SUM(B93:B98)</f>
        <v>50</v>
      </c>
      <c r="C99" s="272">
        <f t="shared" ref="C99:H99" si="31">SUM(C93:C98)</f>
        <v>22</v>
      </c>
      <c r="D99" s="272">
        <f t="shared" si="31"/>
        <v>30</v>
      </c>
      <c r="E99" s="272">
        <f t="shared" si="31"/>
        <v>44</v>
      </c>
      <c r="F99" s="272">
        <f t="shared" si="31"/>
        <v>37</v>
      </c>
      <c r="G99" s="272">
        <f t="shared" si="31"/>
        <v>46</v>
      </c>
      <c r="H99" s="293">
        <f t="shared" si="31"/>
        <v>75</v>
      </c>
      <c r="I99" s="273">
        <f t="shared" si="30"/>
        <v>304</v>
      </c>
      <c r="J99" s="217"/>
      <c r="K99" s="199"/>
      <c r="L99" s="240"/>
      <c r="M99" s="245"/>
      <c r="N99" s="245"/>
      <c r="O99" s="245"/>
      <c r="P99" s="245"/>
      <c r="Q99" s="235"/>
      <c r="R99" s="235"/>
      <c r="S99" s="235"/>
      <c r="T99" s="235"/>
    </row>
    <row r="100" spans="1:22">
      <c r="A100" s="220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2"/>
      <c r="O100" s="217"/>
      <c r="Q100" s="220"/>
      <c r="R100" s="217"/>
      <c r="S100" s="217"/>
      <c r="T100" s="217"/>
      <c r="U100" s="217"/>
      <c r="V100" s="223"/>
    </row>
    <row r="101" spans="1:22">
      <c r="A101" s="220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2"/>
      <c r="O101" s="217"/>
      <c r="Q101" s="220"/>
      <c r="R101" s="217"/>
      <c r="S101" s="217"/>
      <c r="T101" s="217"/>
      <c r="U101" s="217"/>
      <c r="V101" s="223"/>
    </row>
    <row r="102" spans="1:22" ht="22.5">
      <c r="A102" s="197" t="s">
        <v>132</v>
      </c>
      <c r="J102" s="221"/>
      <c r="K102" s="221"/>
      <c r="L102" s="221"/>
      <c r="M102" s="197" t="s">
        <v>135</v>
      </c>
      <c r="O102" s="198"/>
      <c r="P102" s="198"/>
      <c r="Q102" s="198"/>
      <c r="R102" s="198"/>
      <c r="S102" s="198"/>
      <c r="T102" s="198"/>
      <c r="U102" s="198"/>
      <c r="V102" s="223"/>
    </row>
    <row r="103" spans="1:22">
      <c r="A103" s="200" t="s">
        <v>106</v>
      </c>
      <c r="B103" s="201">
        <v>45845</v>
      </c>
      <c r="C103" s="201">
        <v>45846</v>
      </c>
      <c r="D103" s="201">
        <v>45847</v>
      </c>
      <c r="E103" s="201">
        <v>45848</v>
      </c>
      <c r="F103" s="201">
        <v>45849</v>
      </c>
      <c r="G103" s="201">
        <v>45850</v>
      </c>
      <c r="H103" s="201">
        <v>45851</v>
      </c>
      <c r="I103" s="202" t="s">
        <v>107</v>
      </c>
      <c r="J103" s="221"/>
      <c r="K103" s="221"/>
      <c r="L103" s="221"/>
      <c r="M103" s="200" t="s">
        <v>106</v>
      </c>
      <c r="N103" s="201">
        <v>45845</v>
      </c>
      <c r="O103" s="201">
        <v>45846</v>
      </c>
      <c r="P103" s="201">
        <v>45847</v>
      </c>
      <c r="Q103" s="201">
        <v>45848</v>
      </c>
      <c r="R103" s="201">
        <v>45849</v>
      </c>
      <c r="S103" s="201">
        <v>45850</v>
      </c>
      <c r="T103" s="201">
        <v>45851</v>
      </c>
      <c r="U103" s="202" t="s">
        <v>107</v>
      </c>
      <c r="V103" s="223"/>
    </row>
    <row r="104" spans="1:22">
      <c r="A104" s="204" t="s">
        <v>108</v>
      </c>
      <c r="B104" s="205" t="s">
        <v>133</v>
      </c>
      <c r="C104" s="205" t="s">
        <v>133</v>
      </c>
      <c r="D104" s="205" t="s">
        <v>133</v>
      </c>
      <c r="E104" s="205" t="s">
        <v>133</v>
      </c>
      <c r="F104" s="205" t="s">
        <v>133</v>
      </c>
      <c r="G104" s="205" t="s">
        <v>133</v>
      </c>
      <c r="H104" s="205" t="s">
        <v>133</v>
      </c>
      <c r="I104" s="206" t="s">
        <v>119</v>
      </c>
      <c r="J104" s="221"/>
      <c r="K104" s="221"/>
      <c r="L104" s="221"/>
      <c r="M104" s="204" t="s">
        <v>108</v>
      </c>
      <c r="N104" s="205" t="s">
        <v>129</v>
      </c>
      <c r="O104" s="205" t="s">
        <v>129</v>
      </c>
      <c r="P104" s="205" t="s">
        <v>129</v>
      </c>
      <c r="Q104" s="205" t="s">
        <v>129</v>
      </c>
      <c r="R104" s="205" t="s">
        <v>129</v>
      </c>
      <c r="S104" s="205" t="s">
        <v>129</v>
      </c>
      <c r="T104" s="205" t="s">
        <v>129</v>
      </c>
      <c r="U104" s="206" t="s">
        <v>119</v>
      </c>
      <c r="V104" s="223"/>
    </row>
    <row r="105" spans="1:22" ht="15.5">
      <c r="A105" s="208" t="s">
        <v>110</v>
      </c>
      <c r="B105" s="299">
        <v>0</v>
      </c>
      <c r="C105" s="299">
        <v>55000</v>
      </c>
      <c r="D105" s="299">
        <v>70000</v>
      </c>
      <c r="E105" s="299">
        <v>70000</v>
      </c>
      <c r="F105" s="299">
        <v>30000</v>
      </c>
      <c r="G105" s="299">
        <v>250000</v>
      </c>
      <c r="H105" s="299">
        <v>30000</v>
      </c>
      <c r="I105" s="300">
        <f>SUM(B105:H105)</f>
        <v>505000</v>
      </c>
      <c r="J105" s="331"/>
      <c r="K105" s="221"/>
      <c r="L105" s="221"/>
      <c r="M105" s="208" t="s">
        <v>110</v>
      </c>
      <c r="N105" s="327">
        <v>0</v>
      </c>
      <c r="O105" s="327">
        <v>27650</v>
      </c>
      <c r="P105" s="327">
        <v>66660</v>
      </c>
      <c r="Q105" s="327">
        <v>68653.600000000006</v>
      </c>
      <c r="R105" s="327">
        <v>35936</v>
      </c>
      <c r="S105" s="327">
        <v>209260</v>
      </c>
      <c r="T105" s="327">
        <v>211739</v>
      </c>
      <c r="U105" s="300">
        <f>SUM(N105:T105)</f>
        <v>619898.6</v>
      </c>
      <c r="V105" s="223"/>
    </row>
    <row r="106" spans="1:22" ht="15.5">
      <c r="A106" s="212" t="s">
        <v>111</v>
      </c>
      <c r="B106" s="278"/>
      <c r="C106" s="278">
        <v>30000</v>
      </c>
      <c r="D106" s="278">
        <v>30000</v>
      </c>
      <c r="E106" s="278">
        <v>280000</v>
      </c>
      <c r="F106" s="278">
        <v>20000</v>
      </c>
      <c r="G106" s="278">
        <v>50000</v>
      </c>
      <c r="H106" s="278">
        <v>45000</v>
      </c>
      <c r="I106" s="301">
        <f t="shared" ref="I106:I110" si="32">SUM(B106:H106)</f>
        <v>455000</v>
      </c>
      <c r="J106" s="331"/>
      <c r="K106" s="221"/>
      <c r="L106" s="221"/>
      <c r="M106" s="212" t="s">
        <v>111</v>
      </c>
      <c r="N106" s="299"/>
      <c r="O106" s="299">
        <v>33600</v>
      </c>
      <c r="P106" s="299">
        <v>37300</v>
      </c>
      <c r="Q106" s="299">
        <v>243800</v>
      </c>
      <c r="R106" s="299">
        <v>32900</v>
      </c>
      <c r="S106" s="299">
        <v>41600</v>
      </c>
      <c r="T106" s="299">
        <v>20800</v>
      </c>
      <c r="U106" s="301">
        <f t="shared" ref="U106:U110" si="33">SUM(N106:T106)</f>
        <v>410000</v>
      </c>
      <c r="V106" s="223"/>
    </row>
    <row r="107" spans="1:22" ht="15.5">
      <c r="A107" s="212" t="s">
        <v>112</v>
      </c>
      <c r="B107" s="278">
        <v>0</v>
      </c>
      <c r="C107" s="278">
        <v>10000</v>
      </c>
      <c r="D107" s="278">
        <v>100000</v>
      </c>
      <c r="E107" s="278">
        <v>16000</v>
      </c>
      <c r="F107" s="278">
        <v>25000</v>
      </c>
      <c r="G107" s="278">
        <v>40000</v>
      </c>
      <c r="H107" s="278">
        <v>25000</v>
      </c>
      <c r="I107" s="301">
        <f t="shared" si="32"/>
        <v>216000</v>
      </c>
      <c r="J107" s="331"/>
      <c r="K107" s="221"/>
      <c r="L107" s="221"/>
      <c r="M107" s="212" t="s">
        <v>112</v>
      </c>
      <c r="N107" s="299">
        <v>0</v>
      </c>
      <c r="O107" s="299">
        <v>200</v>
      </c>
      <c r="P107" s="299">
        <v>102200</v>
      </c>
      <c r="Q107" s="299">
        <v>20800</v>
      </c>
      <c r="R107" s="299">
        <v>1500</v>
      </c>
      <c r="S107" s="299">
        <v>46600</v>
      </c>
      <c r="T107" s="299">
        <v>31500</v>
      </c>
      <c r="U107" s="301">
        <f t="shared" si="33"/>
        <v>202800</v>
      </c>
      <c r="V107" s="223"/>
    </row>
    <row r="108" spans="1:22" ht="15.5">
      <c r="A108" s="212" t="s">
        <v>113</v>
      </c>
      <c r="B108" s="294"/>
      <c r="C108" s="299">
        <v>15000</v>
      </c>
      <c r="D108" s="299">
        <v>19000</v>
      </c>
      <c r="E108" s="299">
        <v>0</v>
      </c>
      <c r="F108" s="299">
        <v>21000</v>
      </c>
      <c r="G108" s="299">
        <v>21000</v>
      </c>
      <c r="H108" s="299">
        <v>20000</v>
      </c>
      <c r="I108" s="301">
        <f t="shared" si="32"/>
        <v>96000</v>
      </c>
      <c r="J108" s="331"/>
      <c r="K108" s="221"/>
      <c r="L108" s="221"/>
      <c r="M108" s="212" t="s">
        <v>113</v>
      </c>
      <c r="N108" s="299"/>
      <c r="O108" s="299">
        <v>12650</v>
      </c>
      <c r="P108" s="299">
        <v>17650</v>
      </c>
      <c r="Q108" s="299">
        <v>0</v>
      </c>
      <c r="R108" s="299">
        <v>19000</v>
      </c>
      <c r="S108" s="299">
        <v>19200</v>
      </c>
      <c r="T108" s="299">
        <v>19200</v>
      </c>
      <c r="U108" s="301">
        <f t="shared" si="33"/>
        <v>87700</v>
      </c>
      <c r="V108" s="223"/>
    </row>
    <row r="109" spans="1:22" ht="15.5">
      <c r="A109" s="212" t="s">
        <v>114</v>
      </c>
      <c r="B109" s="299"/>
      <c r="C109" s="299">
        <v>15000</v>
      </c>
      <c r="D109" s="299">
        <v>28000</v>
      </c>
      <c r="E109" s="299">
        <v>19000</v>
      </c>
      <c r="F109" s="299">
        <v>80000</v>
      </c>
      <c r="G109" s="299">
        <v>200000</v>
      </c>
      <c r="H109" s="299">
        <v>150000</v>
      </c>
      <c r="I109" s="301">
        <f t="shared" si="32"/>
        <v>492000</v>
      </c>
      <c r="J109" s="331"/>
      <c r="K109" s="221"/>
      <c r="L109" s="221"/>
      <c r="M109" s="212" t="s">
        <v>114</v>
      </c>
      <c r="N109" s="299"/>
      <c r="O109" s="299">
        <v>10000</v>
      </c>
      <c r="P109" s="299">
        <v>10667</v>
      </c>
      <c r="Q109" s="299">
        <v>12666.666666666666</v>
      </c>
      <c r="R109" s="299">
        <v>53333</v>
      </c>
      <c r="S109" s="299">
        <v>157000</v>
      </c>
      <c r="T109" s="299">
        <v>114000</v>
      </c>
      <c r="U109" s="301">
        <f t="shared" si="33"/>
        <v>357666.66666666663</v>
      </c>
      <c r="V109" s="223"/>
    </row>
    <row r="110" spans="1:22" ht="15.5">
      <c r="A110" s="212" t="s">
        <v>115</v>
      </c>
      <c r="B110" s="299">
        <v>10000</v>
      </c>
      <c r="C110" s="299">
        <v>0</v>
      </c>
      <c r="D110" s="299">
        <v>15000</v>
      </c>
      <c r="E110" s="299">
        <v>15000</v>
      </c>
      <c r="F110" s="299">
        <v>25000</v>
      </c>
      <c r="G110" s="299">
        <v>30000</v>
      </c>
      <c r="H110" s="299">
        <v>25000</v>
      </c>
      <c r="I110" s="301">
        <f t="shared" si="32"/>
        <v>120000</v>
      </c>
      <c r="J110" s="331"/>
      <c r="K110" s="221"/>
      <c r="L110" s="221"/>
      <c r="M110" s="212" t="s">
        <v>115</v>
      </c>
      <c r="N110" s="299">
        <v>10000</v>
      </c>
      <c r="O110" s="299">
        <v>0</v>
      </c>
      <c r="P110" s="299">
        <v>15000</v>
      </c>
      <c r="Q110" s="299">
        <v>10000</v>
      </c>
      <c r="R110" s="299">
        <v>15000</v>
      </c>
      <c r="S110" s="299">
        <v>20000</v>
      </c>
      <c r="T110" s="299">
        <v>15000</v>
      </c>
      <c r="U110" s="301">
        <f t="shared" si="33"/>
        <v>85000</v>
      </c>
      <c r="V110" s="223"/>
    </row>
    <row r="111" spans="1:22" ht="15.5">
      <c r="A111" s="204" t="s">
        <v>116</v>
      </c>
      <c r="B111" s="295">
        <f>SUM(B105:B110)</f>
        <v>10000</v>
      </c>
      <c r="C111" s="295">
        <f t="shared" ref="C111:I111" si="34">SUM(C105:C110)</f>
        <v>125000</v>
      </c>
      <c r="D111" s="295">
        <f t="shared" si="34"/>
        <v>262000</v>
      </c>
      <c r="E111" s="295">
        <f t="shared" si="34"/>
        <v>400000</v>
      </c>
      <c r="F111" s="295">
        <f t="shared" si="34"/>
        <v>201000</v>
      </c>
      <c r="G111" s="295">
        <f t="shared" si="34"/>
        <v>591000</v>
      </c>
      <c r="H111" s="295">
        <f t="shared" si="34"/>
        <v>295000</v>
      </c>
      <c r="I111" s="295">
        <f t="shared" si="34"/>
        <v>1884000</v>
      </c>
      <c r="J111" s="331"/>
      <c r="K111" s="221"/>
      <c r="L111" s="221"/>
      <c r="M111" s="204" t="s">
        <v>116</v>
      </c>
      <c r="N111" s="295">
        <f>SUM(N105:N110)</f>
        <v>10000</v>
      </c>
      <c r="O111" s="295">
        <f t="shared" ref="O111:U111" si="35">SUM(O105:O110)</f>
        <v>84100</v>
      </c>
      <c r="P111" s="295">
        <f t="shared" si="35"/>
        <v>249477</v>
      </c>
      <c r="Q111" s="295">
        <f t="shared" si="35"/>
        <v>355920.26666666666</v>
      </c>
      <c r="R111" s="295">
        <f t="shared" si="35"/>
        <v>157669</v>
      </c>
      <c r="S111" s="295">
        <f t="shared" si="35"/>
        <v>493660</v>
      </c>
      <c r="T111" s="295">
        <f t="shared" si="35"/>
        <v>412239</v>
      </c>
      <c r="U111" s="302">
        <f t="shared" si="35"/>
        <v>1763065.2666666666</v>
      </c>
      <c r="V111" s="223"/>
    </row>
    <row r="112" spans="1:22">
      <c r="A112" s="220"/>
      <c r="B112" s="335" t="s">
        <v>171</v>
      </c>
      <c r="C112" s="335" t="s">
        <v>171</v>
      </c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2"/>
      <c r="O112" s="217"/>
      <c r="Q112" s="220"/>
      <c r="R112" s="217"/>
      <c r="S112" s="217"/>
      <c r="T112" s="217"/>
      <c r="U112" s="217"/>
      <c r="V112" s="223"/>
    </row>
    <row r="113" spans="1:22">
      <c r="A113" s="220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2"/>
      <c r="O113" s="217"/>
      <c r="Q113" s="220"/>
      <c r="R113" s="217"/>
      <c r="S113" s="217"/>
      <c r="T113" s="217"/>
      <c r="U113" s="217"/>
      <c r="V113" s="223"/>
    </row>
    <row r="114" spans="1:22">
      <c r="A114" s="220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2"/>
      <c r="O114" s="217"/>
      <c r="Q114" s="220"/>
      <c r="R114" s="217"/>
      <c r="S114" s="217"/>
      <c r="T114" s="217"/>
      <c r="U114" s="217"/>
      <c r="V114" s="223"/>
    </row>
    <row r="115" spans="1:22" ht="22.5" outlineLevel="1">
      <c r="A115" s="197" t="s">
        <v>120</v>
      </c>
      <c r="K115" s="234"/>
      <c r="L115" s="234"/>
      <c r="M115" s="234"/>
      <c r="N115" s="234"/>
      <c r="O115" s="235"/>
      <c r="P115" s="235"/>
      <c r="Q115" s="236"/>
      <c r="R115" s="235"/>
      <c r="S115" s="235"/>
    </row>
    <row r="116" spans="1:22" ht="22" customHeight="1" outlineLevel="1">
      <c r="A116" s="200" t="s">
        <v>106</v>
      </c>
      <c r="B116" s="201">
        <v>45845</v>
      </c>
      <c r="C116" s="201">
        <v>45846</v>
      </c>
      <c r="D116" s="201">
        <v>45847</v>
      </c>
      <c r="E116" s="201">
        <v>45848</v>
      </c>
      <c r="F116" s="201">
        <v>45849</v>
      </c>
      <c r="G116" s="201">
        <v>45850</v>
      </c>
      <c r="H116" s="201">
        <v>45851</v>
      </c>
      <c r="I116" s="202" t="s">
        <v>107</v>
      </c>
      <c r="J116" s="467" t="s">
        <v>167</v>
      </c>
      <c r="K116" s="199"/>
      <c r="L116" s="237"/>
      <c r="M116" s="238"/>
      <c r="N116" s="238"/>
      <c r="O116" s="238"/>
      <c r="P116" s="239"/>
      <c r="Q116" s="235"/>
      <c r="R116" s="235"/>
      <c r="S116" s="235"/>
      <c r="T116" s="235"/>
    </row>
    <row r="117" spans="1:22" ht="16.5" customHeight="1" outlineLevel="1">
      <c r="A117" s="204" t="s">
        <v>108</v>
      </c>
      <c r="B117" s="205" t="s">
        <v>117</v>
      </c>
      <c r="C117" s="205" t="s">
        <v>117</v>
      </c>
      <c r="D117" s="205" t="s">
        <v>117</v>
      </c>
      <c r="E117" s="205" t="s">
        <v>117</v>
      </c>
      <c r="F117" s="205" t="s">
        <v>117</v>
      </c>
      <c r="G117" s="205" t="s">
        <v>117</v>
      </c>
      <c r="H117" s="205" t="s">
        <v>117</v>
      </c>
      <c r="I117" s="206" t="s">
        <v>119</v>
      </c>
      <c r="J117" s="467"/>
      <c r="K117" s="199"/>
      <c r="L117" s="240"/>
      <c r="M117" s="241"/>
      <c r="N117" s="241"/>
      <c r="O117" s="241"/>
      <c r="P117" s="241"/>
      <c r="Q117" s="235"/>
      <c r="R117" s="235"/>
      <c r="S117" s="235"/>
      <c r="T117" s="235"/>
    </row>
    <row r="118" spans="1:22" ht="16.5" customHeight="1" outlineLevel="1">
      <c r="A118" s="208" t="s">
        <v>110</v>
      </c>
      <c r="B118" s="278"/>
      <c r="C118" s="213">
        <v>13</v>
      </c>
      <c r="D118" s="213">
        <v>18</v>
      </c>
      <c r="E118" s="213">
        <v>18</v>
      </c>
      <c r="F118" s="213">
        <v>21</v>
      </c>
      <c r="G118" s="213">
        <v>30</v>
      </c>
      <c r="H118" s="213">
        <v>12</v>
      </c>
      <c r="I118" s="210">
        <f>SUM(B118:H118)</f>
        <v>112</v>
      </c>
      <c r="J118" s="219">
        <f>I118-I93</f>
        <v>26</v>
      </c>
      <c r="K118" s="199"/>
      <c r="L118" s="242"/>
      <c r="M118" s="243"/>
      <c r="N118" s="243"/>
      <c r="O118" s="243"/>
      <c r="P118" s="243"/>
      <c r="Q118" s="243"/>
      <c r="R118" s="243"/>
      <c r="S118" s="243"/>
      <c r="T118" s="243"/>
    </row>
    <row r="119" spans="1:22" ht="16.5" customHeight="1" outlineLevel="1">
      <c r="A119" s="212" t="s">
        <v>111</v>
      </c>
      <c r="B119" s="213"/>
      <c r="C119" s="213">
        <v>10</v>
      </c>
      <c r="D119" s="213">
        <v>10</v>
      </c>
      <c r="E119" s="213">
        <v>25</v>
      </c>
      <c r="F119" s="213">
        <v>6</v>
      </c>
      <c r="G119" s="213">
        <v>9</v>
      </c>
      <c r="H119" s="213">
        <v>12</v>
      </c>
      <c r="I119" s="210">
        <f t="shared" ref="I119:I123" si="36">SUM(B119:H119)</f>
        <v>72</v>
      </c>
      <c r="J119" s="219">
        <f t="shared" ref="J119:J124" si="37">I119-I94</f>
        <v>-14</v>
      </c>
      <c r="K119" s="199"/>
      <c r="L119" s="242"/>
      <c r="M119" s="243"/>
      <c r="N119" s="243"/>
      <c r="O119" s="243"/>
      <c r="P119" s="243"/>
      <c r="Q119" s="243"/>
      <c r="R119" s="243"/>
      <c r="S119" s="235"/>
      <c r="T119" s="235"/>
    </row>
    <row r="120" spans="1:22" ht="16.5" customHeight="1" outlineLevel="1">
      <c r="A120" s="212" t="s">
        <v>112</v>
      </c>
      <c r="B120" s="213"/>
      <c r="C120" s="213">
        <v>3</v>
      </c>
      <c r="D120" s="213">
        <v>15</v>
      </c>
      <c r="E120" s="213">
        <v>4</v>
      </c>
      <c r="F120" s="213">
        <v>6</v>
      </c>
      <c r="G120" s="213">
        <v>10</v>
      </c>
      <c r="H120" s="213">
        <v>6</v>
      </c>
      <c r="I120" s="210">
        <f t="shared" si="36"/>
        <v>44</v>
      </c>
      <c r="J120" s="219">
        <f t="shared" si="37"/>
        <v>13</v>
      </c>
      <c r="K120" s="199"/>
      <c r="L120" s="242"/>
      <c r="M120" s="243"/>
      <c r="N120" s="243"/>
      <c r="O120" s="243"/>
      <c r="P120" s="243"/>
      <c r="Q120" s="243"/>
      <c r="R120" s="243"/>
      <c r="S120" s="235"/>
      <c r="T120" s="235"/>
    </row>
    <row r="121" spans="1:22" ht="16.5" customHeight="1" outlineLevel="1">
      <c r="A121" s="212" t="s">
        <v>113</v>
      </c>
      <c r="B121" s="213" t="s">
        <v>126</v>
      </c>
      <c r="C121" s="213">
        <v>5</v>
      </c>
      <c r="D121" s="213">
        <v>5</v>
      </c>
      <c r="E121" s="213" t="s">
        <v>126</v>
      </c>
      <c r="F121" s="213">
        <v>6</v>
      </c>
      <c r="G121" s="213">
        <v>7</v>
      </c>
      <c r="H121" s="213">
        <v>6</v>
      </c>
      <c r="I121" s="210">
        <f t="shared" si="36"/>
        <v>29</v>
      </c>
      <c r="J121" s="219">
        <f t="shared" si="37"/>
        <v>-1</v>
      </c>
      <c r="K121" s="199"/>
      <c r="L121" s="242"/>
      <c r="M121" s="243"/>
      <c r="N121" s="243"/>
      <c r="O121" s="243"/>
      <c r="P121" s="243"/>
      <c r="Q121" s="243"/>
      <c r="R121" s="243"/>
      <c r="S121" s="235"/>
      <c r="T121" s="235"/>
    </row>
    <row r="122" spans="1:22" ht="16.5" customHeight="1" outlineLevel="1">
      <c r="A122" s="212" t="s">
        <v>114</v>
      </c>
      <c r="B122" s="213"/>
      <c r="C122" s="213">
        <v>4</v>
      </c>
      <c r="D122" s="213">
        <v>5</v>
      </c>
      <c r="E122" s="213">
        <v>6</v>
      </c>
      <c r="F122" s="213">
        <v>15</v>
      </c>
      <c r="G122" s="213">
        <v>25</v>
      </c>
      <c r="H122" s="213">
        <v>20</v>
      </c>
      <c r="I122" s="210">
        <f t="shared" si="36"/>
        <v>75</v>
      </c>
      <c r="J122" s="219">
        <f t="shared" si="37"/>
        <v>33</v>
      </c>
      <c r="K122" s="199"/>
      <c r="L122" s="242"/>
      <c r="M122" s="243"/>
      <c r="N122" s="243"/>
      <c r="O122" s="243"/>
      <c r="P122" s="243"/>
      <c r="Q122" s="243"/>
      <c r="R122" s="243"/>
      <c r="S122" s="235"/>
      <c r="T122" s="235"/>
    </row>
    <row r="123" spans="1:22" ht="16.5" customHeight="1" outlineLevel="1">
      <c r="A123" s="212" t="s">
        <v>115</v>
      </c>
      <c r="B123" s="213">
        <v>3</v>
      </c>
      <c r="C123" s="213">
        <v>0</v>
      </c>
      <c r="D123" s="213">
        <v>4</v>
      </c>
      <c r="E123" s="213">
        <v>5</v>
      </c>
      <c r="F123" s="213">
        <v>7</v>
      </c>
      <c r="G123" s="213">
        <v>9</v>
      </c>
      <c r="H123" s="213">
        <v>7</v>
      </c>
      <c r="I123" s="210">
        <f t="shared" si="36"/>
        <v>35</v>
      </c>
      <c r="J123" s="219">
        <f t="shared" si="37"/>
        <v>6</v>
      </c>
      <c r="K123" s="199"/>
      <c r="L123" s="242"/>
      <c r="M123" s="243"/>
      <c r="N123" s="243"/>
      <c r="O123" s="243"/>
      <c r="P123" s="243"/>
      <c r="Q123" s="243"/>
      <c r="R123" s="243"/>
      <c r="S123" s="235"/>
      <c r="T123" s="235"/>
    </row>
    <row r="124" spans="1:22" ht="16.5" customHeight="1" outlineLevel="1">
      <c r="A124" s="204" t="s">
        <v>116</v>
      </c>
      <c r="B124" s="215">
        <f>SUM(B118:B123)</f>
        <v>3</v>
      </c>
      <c r="C124" s="215">
        <f t="shared" ref="C124:I124" si="38">SUM(C118:C123)</f>
        <v>35</v>
      </c>
      <c r="D124" s="215">
        <f t="shared" si="38"/>
        <v>57</v>
      </c>
      <c r="E124" s="215">
        <f t="shared" si="38"/>
        <v>58</v>
      </c>
      <c r="F124" s="215">
        <f t="shared" si="38"/>
        <v>61</v>
      </c>
      <c r="G124" s="215">
        <f t="shared" si="38"/>
        <v>90</v>
      </c>
      <c r="H124" s="215">
        <f t="shared" si="38"/>
        <v>63</v>
      </c>
      <c r="I124" s="215">
        <f t="shared" si="38"/>
        <v>367</v>
      </c>
      <c r="J124" s="219">
        <f t="shared" si="37"/>
        <v>63</v>
      </c>
      <c r="K124" s="199"/>
      <c r="L124" s="240"/>
      <c r="M124" s="245"/>
      <c r="N124" s="245"/>
      <c r="O124" s="245"/>
      <c r="P124" s="245"/>
      <c r="Q124" s="235"/>
      <c r="R124" s="235"/>
      <c r="S124" s="235"/>
      <c r="T124" s="235"/>
    </row>
    <row r="125" spans="1:22" outlineLevel="1">
      <c r="A125" s="220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2"/>
      <c r="O125" s="217"/>
      <c r="Q125" s="220"/>
      <c r="R125" s="217"/>
      <c r="S125" s="217"/>
      <c r="T125" s="217"/>
      <c r="U125" s="217"/>
      <c r="V125" s="223"/>
    </row>
    <row r="126" spans="1:22" ht="22.5" outlineLevel="1">
      <c r="A126" s="197" t="s">
        <v>191</v>
      </c>
      <c r="K126" s="234"/>
      <c r="L126" s="234"/>
      <c r="M126" s="234"/>
      <c r="N126" s="234"/>
      <c r="O126" s="235"/>
      <c r="P126" s="235"/>
      <c r="Q126" s="236"/>
      <c r="R126" s="235"/>
      <c r="S126" s="235"/>
    </row>
    <row r="127" spans="1:22" ht="22" customHeight="1" outlineLevel="1">
      <c r="A127" s="200" t="s">
        <v>106</v>
      </c>
      <c r="B127" s="201">
        <v>45845</v>
      </c>
      <c r="C127" s="201">
        <v>45846</v>
      </c>
      <c r="D127" s="201">
        <v>45847</v>
      </c>
      <c r="E127" s="201">
        <v>45848</v>
      </c>
      <c r="F127" s="201">
        <v>45849</v>
      </c>
      <c r="G127" s="201">
        <v>45850</v>
      </c>
      <c r="H127" s="201">
        <v>45851</v>
      </c>
      <c r="I127" s="202" t="s">
        <v>107</v>
      </c>
      <c r="J127" s="466" t="s">
        <v>130</v>
      </c>
      <c r="K127" s="199"/>
      <c r="L127" s="466" t="s">
        <v>131</v>
      </c>
      <c r="M127" s="238"/>
      <c r="N127" s="238"/>
      <c r="O127" s="238"/>
      <c r="P127" s="239"/>
      <c r="Q127" s="235"/>
      <c r="R127" s="235"/>
      <c r="S127" s="235"/>
      <c r="T127" s="235"/>
    </row>
    <row r="128" spans="1:22" s="288" customFormat="1" ht="16.5" customHeight="1" outlineLevel="1">
      <c r="A128" s="286" t="s">
        <v>108</v>
      </c>
      <c r="B128" s="351" t="s">
        <v>109</v>
      </c>
      <c r="C128" s="351" t="s">
        <v>109</v>
      </c>
      <c r="D128" s="351" t="s">
        <v>109</v>
      </c>
      <c r="E128" s="351" t="s">
        <v>109</v>
      </c>
      <c r="F128" s="351" t="s">
        <v>109</v>
      </c>
      <c r="G128" s="351" t="s">
        <v>109</v>
      </c>
      <c r="H128" s="205" t="s">
        <v>117</v>
      </c>
      <c r="I128" s="287" t="s">
        <v>119</v>
      </c>
      <c r="J128" s="466"/>
      <c r="L128" s="466"/>
      <c r="M128" s="239"/>
      <c r="N128" s="239"/>
      <c r="O128" s="239"/>
      <c r="P128" s="239"/>
      <c r="Q128" s="352"/>
      <c r="R128" s="352"/>
      <c r="S128" s="352"/>
      <c r="T128" s="352"/>
    </row>
    <row r="129" spans="1:22" ht="16.5" customHeight="1" outlineLevel="1">
      <c r="A129" s="208" t="s">
        <v>110</v>
      </c>
      <c r="B129" s="209"/>
      <c r="C129" s="209">
        <v>10</v>
      </c>
      <c r="D129" s="209">
        <v>16</v>
      </c>
      <c r="E129" s="209">
        <v>12</v>
      </c>
      <c r="F129" s="209">
        <v>5</v>
      </c>
      <c r="G129" s="209">
        <v>8</v>
      </c>
      <c r="H129" s="209">
        <v>16</v>
      </c>
      <c r="I129" s="210">
        <f>SUM(B129:H129)</f>
        <v>67</v>
      </c>
      <c r="J129" s="219">
        <f>I129-I118</f>
        <v>-45</v>
      </c>
      <c r="K129" s="199"/>
      <c r="L129" s="296">
        <f>I129-I93</f>
        <v>-19</v>
      </c>
      <c r="M129" s="243"/>
      <c r="N129" s="243"/>
      <c r="O129" s="243"/>
      <c r="P129" s="244"/>
      <c r="Q129" s="235"/>
      <c r="R129" s="235"/>
      <c r="S129" s="235"/>
      <c r="T129" s="235"/>
    </row>
    <row r="130" spans="1:22" ht="16.5" customHeight="1" outlineLevel="1">
      <c r="A130" s="212" t="s">
        <v>111</v>
      </c>
      <c r="B130" s="213"/>
      <c r="C130" s="213">
        <v>11</v>
      </c>
      <c r="D130" s="213">
        <v>12</v>
      </c>
      <c r="E130" s="213">
        <v>15</v>
      </c>
      <c r="F130" s="213">
        <v>7</v>
      </c>
      <c r="G130" s="213">
        <v>38</v>
      </c>
      <c r="H130" s="213">
        <v>7</v>
      </c>
      <c r="I130" s="210">
        <f t="shared" ref="I130:I134" si="39">SUM(B130:H130)</f>
        <v>90</v>
      </c>
      <c r="J130" s="219">
        <f t="shared" ref="J130:J135" si="40">I130-I119</f>
        <v>18</v>
      </c>
      <c r="K130" s="199"/>
      <c r="L130" s="420">
        <f t="shared" ref="L130:L135" si="41">I130-I94</f>
        <v>4</v>
      </c>
      <c r="M130" s="243"/>
      <c r="N130" s="243"/>
      <c r="O130" s="243"/>
      <c r="P130" s="244"/>
      <c r="Q130" s="235"/>
      <c r="R130" s="235"/>
      <c r="S130" s="235"/>
      <c r="T130" s="235"/>
    </row>
    <row r="131" spans="1:22" ht="16.5" customHeight="1" outlineLevel="1">
      <c r="A131" s="212" t="s">
        <v>112</v>
      </c>
      <c r="B131" s="213"/>
      <c r="C131" s="213">
        <v>8</v>
      </c>
      <c r="D131" s="213">
        <v>7</v>
      </c>
      <c r="E131" s="213">
        <v>4</v>
      </c>
      <c r="F131" s="213">
        <v>4</v>
      </c>
      <c r="G131" s="213">
        <v>4</v>
      </c>
      <c r="H131" s="213">
        <v>7</v>
      </c>
      <c r="I131" s="210">
        <f t="shared" si="39"/>
        <v>34</v>
      </c>
      <c r="J131" s="219">
        <f t="shared" si="40"/>
        <v>-10</v>
      </c>
      <c r="K131" s="199"/>
      <c r="L131" s="420">
        <f t="shared" si="41"/>
        <v>3</v>
      </c>
      <c r="M131" s="243"/>
      <c r="N131" s="243"/>
      <c r="O131" s="243"/>
      <c r="P131" s="244"/>
      <c r="Q131" s="235"/>
      <c r="R131" s="235"/>
      <c r="S131" s="235"/>
      <c r="T131" s="235"/>
    </row>
    <row r="132" spans="1:22" ht="16.5" customHeight="1" outlineLevel="1">
      <c r="A132" s="212" t="s">
        <v>113</v>
      </c>
      <c r="B132" s="213"/>
      <c r="C132" s="213">
        <v>3</v>
      </c>
      <c r="D132" s="213">
        <v>1</v>
      </c>
      <c r="E132" s="213"/>
      <c r="F132" s="213">
        <v>6</v>
      </c>
      <c r="G132" s="213">
        <v>6</v>
      </c>
      <c r="H132" s="213">
        <v>4</v>
      </c>
      <c r="I132" s="210">
        <f t="shared" si="39"/>
        <v>20</v>
      </c>
      <c r="J132" s="219">
        <f t="shared" si="40"/>
        <v>-9</v>
      </c>
      <c r="K132" s="199"/>
      <c r="L132" s="296">
        <f t="shared" si="41"/>
        <v>-10</v>
      </c>
      <c r="M132" s="243"/>
      <c r="N132" s="243"/>
      <c r="O132" s="243"/>
      <c r="P132" s="244"/>
      <c r="Q132" s="235"/>
      <c r="R132" s="235"/>
      <c r="S132" s="235"/>
      <c r="T132" s="235"/>
    </row>
    <row r="133" spans="1:22" ht="16.5" customHeight="1" outlineLevel="1">
      <c r="A133" s="212" t="s">
        <v>114</v>
      </c>
      <c r="B133" s="213"/>
      <c r="C133" s="213">
        <v>5</v>
      </c>
      <c r="D133" s="213"/>
      <c r="E133" s="213">
        <v>2</v>
      </c>
      <c r="F133" s="213">
        <v>5</v>
      </c>
      <c r="G133" s="213">
        <v>17</v>
      </c>
      <c r="H133" s="213">
        <v>9</v>
      </c>
      <c r="I133" s="210">
        <f t="shared" si="39"/>
        <v>38</v>
      </c>
      <c r="J133" s="219">
        <f t="shared" si="40"/>
        <v>-37</v>
      </c>
      <c r="K133" s="199"/>
      <c r="L133" s="296">
        <f t="shared" si="41"/>
        <v>-4</v>
      </c>
      <c r="M133" s="243"/>
      <c r="N133" s="243"/>
      <c r="O133" s="243"/>
      <c r="P133" s="244"/>
      <c r="Q133" s="235"/>
      <c r="R133" s="235"/>
      <c r="S133" s="235"/>
      <c r="T133" s="235"/>
    </row>
    <row r="134" spans="1:22" ht="16.5" customHeight="1" outlineLevel="1">
      <c r="A134" s="212" t="s">
        <v>115</v>
      </c>
      <c r="B134" s="213">
        <v>4</v>
      </c>
      <c r="C134" s="213"/>
      <c r="D134" s="213">
        <v>3</v>
      </c>
      <c r="E134" s="213">
        <v>6</v>
      </c>
      <c r="F134" s="213">
        <v>6</v>
      </c>
      <c r="G134" s="213">
        <v>6</v>
      </c>
      <c r="H134" s="213">
        <v>3</v>
      </c>
      <c r="I134" s="210">
        <f t="shared" si="39"/>
        <v>28</v>
      </c>
      <c r="J134" s="219">
        <f t="shared" si="40"/>
        <v>-7</v>
      </c>
      <c r="K134" s="199"/>
      <c r="L134" s="296">
        <f t="shared" si="41"/>
        <v>-1</v>
      </c>
      <c r="M134" s="243"/>
      <c r="N134" s="243"/>
      <c r="O134" s="243"/>
      <c r="P134" s="244"/>
      <c r="Q134" s="235"/>
      <c r="R134" s="235"/>
      <c r="S134" s="235"/>
      <c r="T134" s="235"/>
    </row>
    <row r="135" spans="1:22" ht="16.5" customHeight="1" outlineLevel="1">
      <c r="A135" s="204" t="s">
        <v>116</v>
      </c>
      <c r="B135" s="215">
        <f>SUM(B129:B134)</f>
        <v>4</v>
      </c>
      <c r="C135" s="215">
        <f>SUM(C129:C134)</f>
        <v>37</v>
      </c>
      <c r="D135" s="215">
        <f t="shared" ref="D135:I135" si="42">SUM(D129:D134)</f>
        <v>39</v>
      </c>
      <c r="E135" s="215">
        <f t="shared" si="42"/>
        <v>39</v>
      </c>
      <c r="F135" s="215">
        <f t="shared" si="42"/>
        <v>33</v>
      </c>
      <c r="G135" s="215">
        <f t="shared" si="42"/>
        <v>79</v>
      </c>
      <c r="H135" s="215">
        <f t="shared" ref="H135" si="43">SUM(H129:H134)</f>
        <v>46</v>
      </c>
      <c r="I135" s="215">
        <f t="shared" si="42"/>
        <v>277</v>
      </c>
      <c r="J135" s="219">
        <f t="shared" si="40"/>
        <v>-90</v>
      </c>
      <c r="K135" s="199"/>
      <c r="L135" s="296">
        <f t="shared" si="41"/>
        <v>-27</v>
      </c>
      <c r="M135" s="245"/>
      <c r="N135" s="245"/>
      <c r="O135" s="245"/>
      <c r="P135" s="245"/>
      <c r="Q135" s="235"/>
      <c r="R135" s="235"/>
      <c r="S135" s="235"/>
      <c r="T135" s="235"/>
    </row>
    <row r="136" spans="1:22">
      <c r="A136" s="220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2"/>
      <c r="O136" s="217"/>
      <c r="Q136" s="220"/>
      <c r="R136" s="217"/>
      <c r="S136" s="217"/>
      <c r="T136" s="217"/>
      <c r="U136" s="217"/>
      <c r="V136" s="223"/>
    </row>
    <row r="137" spans="1:22" ht="22.5">
      <c r="A137" s="197" t="s">
        <v>134</v>
      </c>
      <c r="K137" s="234"/>
      <c r="L137" s="234"/>
      <c r="M137" s="197" t="s">
        <v>136</v>
      </c>
      <c r="O137" s="198"/>
      <c r="P137" s="198"/>
      <c r="Q137" s="198"/>
      <c r="R137" s="198"/>
      <c r="S137" s="198"/>
      <c r="T137" s="198"/>
      <c r="U137" s="198"/>
    </row>
    <row r="138" spans="1:22" ht="22" customHeight="1">
      <c r="A138" s="200" t="s">
        <v>106</v>
      </c>
      <c r="B138" s="201">
        <v>45845</v>
      </c>
      <c r="C138" s="201">
        <v>45846</v>
      </c>
      <c r="D138" s="201">
        <v>45847</v>
      </c>
      <c r="E138" s="201">
        <v>45848</v>
      </c>
      <c r="F138" s="201">
        <v>45849</v>
      </c>
      <c r="G138" s="201">
        <v>45850</v>
      </c>
      <c r="H138" s="201">
        <v>45851</v>
      </c>
      <c r="I138" s="202" t="s">
        <v>107</v>
      </c>
      <c r="J138" s="467" t="s">
        <v>178</v>
      </c>
      <c r="K138" s="466" t="s">
        <v>179</v>
      </c>
      <c r="L138" s="237"/>
      <c r="M138" s="200" t="s">
        <v>106</v>
      </c>
      <c r="N138" s="201">
        <v>45845</v>
      </c>
      <c r="O138" s="201">
        <v>45846</v>
      </c>
      <c r="P138" s="201">
        <v>45847</v>
      </c>
      <c r="Q138" s="201">
        <v>45848</v>
      </c>
      <c r="R138" s="201">
        <v>45849</v>
      </c>
      <c r="S138" s="201">
        <v>45850</v>
      </c>
      <c r="T138" s="201">
        <v>45851</v>
      </c>
      <c r="U138" s="202" t="s">
        <v>107</v>
      </c>
    </row>
    <row r="139" spans="1:22" ht="16.5" customHeight="1">
      <c r="A139" s="204" t="s">
        <v>108</v>
      </c>
      <c r="B139" s="205" t="s">
        <v>127</v>
      </c>
      <c r="C139" s="205" t="s">
        <v>127</v>
      </c>
      <c r="D139" s="205" t="s">
        <v>127</v>
      </c>
      <c r="E139" s="205" t="s">
        <v>127</v>
      </c>
      <c r="F139" s="205" t="s">
        <v>127</v>
      </c>
      <c r="G139" s="205" t="s">
        <v>127</v>
      </c>
      <c r="H139" s="205" t="s">
        <v>127</v>
      </c>
      <c r="I139" s="206" t="s">
        <v>119</v>
      </c>
      <c r="J139" s="467"/>
      <c r="K139" s="466"/>
      <c r="L139" s="240"/>
      <c r="M139" s="204" t="s">
        <v>108</v>
      </c>
      <c r="N139" s="205" t="s">
        <v>129</v>
      </c>
      <c r="O139" s="205" t="s">
        <v>129</v>
      </c>
      <c r="P139" s="205" t="s">
        <v>129</v>
      </c>
      <c r="Q139" s="205" t="s">
        <v>129</v>
      </c>
      <c r="R139" s="205" t="s">
        <v>129</v>
      </c>
      <c r="S139" s="205" t="s">
        <v>129</v>
      </c>
      <c r="T139" s="205" t="s">
        <v>129</v>
      </c>
      <c r="U139" s="206" t="s">
        <v>119</v>
      </c>
    </row>
    <row r="140" spans="1:22" ht="16.5" customHeight="1">
      <c r="A140" s="208" t="s">
        <v>110</v>
      </c>
      <c r="B140" s="209">
        <v>0</v>
      </c>
      <c r="C140" s="209">
        <v>31452.99</v>
      </c>
      <c r="D140" s="209">
        <v>119709.89000000001</v>
      </c>
      <c r="E140" s="209">
        <v>83229.679999999993</v>
      </c>
      <c r="F140" s="209">
        <v>33156.910000000003</v>
      </c>
      <c r="G140" s="209">
        <v>19494.36</v>
      </c>
      <c r="H140" s="209">
        <v>169909.51</v>
      </c>
      <c r="I140" s="210">
        <f>SUM(B140:H140)</f>
        <v>456953.33999999997</v>
      </c>
      <c r="J140" s="331">
        <f>SUMIFS(B140:H140,$B$147:$H$147,"A")-SUMIFS(B105:H105,$B$147:$H$147,"A")</f>
        <v>-48046.660000000033</v>
      </c>
      <c r="K140" s="331">
        <f>J140+I64</f>
        <v>-354875.27000000008</v>
      </c>
      <c r="L140" s="242"/>
      <c r="M140" s="208" t="s">
        <v>110</v>
      </c>
      <c r="N140" s="209"/>
      <c r="O140" s="209"/>
      <c r="P140" s="209"/>
      <c r="Q140" s="209"/>
      <c r="R140" s="209"/>
      <c r="S140" s="209"/>
      <c r="T140" s="209"/>
      <c r="U140" s="210">
        <f>SUM(N140:T140)</f>
        <v>0</v>
      </c>
    </row>
    <row r="141" spans="1:22" ht="16.5" customHeight="1">
      <c r="A141" s="212" t="s">
        <v>111</v>
      </c>
      <c r="B141" s="213">
        <v>0</v>
      </c>
      <c r="C141" s="213">
        <v>34631.090000000004</v>
      </c>
      <c r="D141" s="213">
        <v>73395.77</v>
      </c>
      <c r="E141" s="213">
        <v>150748.67000000004</v>
      </c>
      <c r="F141" s="213">
        <v>10718.699999999999</v>
      </c>
      <c r="G141" s="213">
        <v>213633.23000000004</v>
      </c>
      <c r="H141" s="213">
        <v>3548.75</v>
      </c>
      <c r="I141" s="210">
        <f t="shared" ref="I141:I145" si="44">SUM(B141:H141)</f>
        <v>486676.21000000008</v>
      </c>
      <c r="J141" s="333">
        <f t="shared" ref="J141:J146" si="45">SUMIFS(B141:H141,$B$147:$H$147,"A")-SUMIFS(B106:H106,$B$147:$H$147,"A")</f>
        <v>31676.210000000079</v>
      </c>
      <c r="K141" s="333">
        <f t="shared" ref="K141:K146" si="46">J141+I65</f>
        <v>324738.85000000003</v>
      </c>
      <c r="L141" s="242"/>
      <c r="M141" s="212" t="s">
        <v>111</v>
      </c>
      <c r="N141" s="213"/>
      <c r="O141" s="213"/>
      <c r="P141" s="213"/>
      <c r="Q141" s="213"/>
      <c r="R141" s="213"/>
      <c r="S141" s="213"/>
      <c r="T141" s="213"/>
      <c r="U141" s="210">
        <f t="shared" ref="U141:U145" si="47">SUM(N141:T141)</f>
        <v>0</v>
      </c>
    </row>
    <row r="142" spans="1:22" ht="16.5" customHeight="1">
      <c r="A142" s="212" t="s">
        <v>112</v>
      </c>
      <c r="B142" s="213">
        <v>0</v>
      </c>
      <c r="C142" s="213">
        <v>12157.24</v>
      </c>
      <c r="D142" s="213">
        <v>79665.289999999994</v>
      </c>
      <c r="E142" s="213">
        <v>8792.2000000000007</v>
      </c>
      <c r="F142" s="213">
        <v>5632.11</v>
      </c>
      <c r="G142" s="213">
        <v>14018.829999999998</v>
      </c>
      <c r="H142" s="213">
        <v>31489.8</v>
      </c>
      <c r="I142" s="210">
        <f t="shared" si="44"/>
        <v>151755.47</v>
      </c>
      <c r="J142" s="331">
        <f t="shared" si="45"/>
        <v>-64244.53</v>
      </c>
      <c r="K142" s="331">
        <f t="shared" si="46"/>
        <v>-98932.6</v>
      </c>
      <c r="L142" s="242"/>
      <c r="M142" s="212" t="s">
        <v>112</v>
      </c>
      <c r="N142" s="213"/>
      <c r="O142" s="213"/>
      <c r="P142" s="213"/>
      <c r="Q142" s="213"/>
      <c r="R142" s="213"/>
      <c r="S142" s="213"/>
      <c r="T142" s="213"/>
      <c r="U142" s="210">
        <f t="shared" si="47"/>
        <v>0</v>
      </c>
    </row>
    <row r="143" spans="1:22" ht="16.5" customHeight="1">
      <c r="A143" s="212" t="s">
        <v>113</v>
      </c>
      <c r="B143" s="213">
        <v>0</v>
      </c>
      <c r="C143" s="213">
        <v>30937.879999999997</v>
      </c>
      <c r="D143" s="213">
        <v>2919</v>
      </c>
      <c r="E143" s="213">
        <v>0</v>
      </c>
      <c r="F143" s="213">
        <v>10365.08</v>
      </c>
      <c r="G143" s="213">
        <v>7719.8799999999992</v>
      </c>
      <c r="H143" s="213">
        <v>21691.86</v>
      </c>
      <c r="I143" s="210">
        <f t="shared" si="44"/>
        <v>73633.7</v>
      </c>
      <c r="J143" s="331">
        <f t="shared" si="45"/>
        <v>-22366.300000000003</v>
      </c>
      <c r="K143" s="333">
        <f t="shared" si="46"/>
        <v>220.94999999999709</v>
      </c>
      <c r="L143" s="242"/>
      <c r="M143" s="212" t="s">
        <v>113</v>
      </c>
      <c r="N143" s="213"/>
      <c r="O143" s="213"/>
      <c r="P143" s="213"/>
      <c r="Q143" s="213"/>
      <c r="R143" s="213"/>
      <c r="S143" s="213"/>
      <c r="T143" s="213"/>
      <c r="U143" s="210">
        <f t="shared" si="47"/>
        <v>0</v>
      </c>
    </row>
    <row r="144" spans="1:22" ht="16.5" customHeight="1">
      <c r="A144" s="212" t="s">
        <v>114</v>
      </c>
      <c r="B144" s="213">
        <v>0</v>
      </c>
      <c r="C144" s="213">
        <v>39323.589999999997</v>
      </c>
      <c r="D144" s="213">
        <v>0</v>
      </c>
      <c r="E144" s="213">
        <v>8392.57</v>
      </c>
      <c r="F144" s="213">
        <v>22900.880000000001</v>
      </c>
      <c r="G144" s="213">
        <v>167539.83000000002</v>
      </c>
      <c r="H144" s="213">
        <v>102810.41</v>
      </c>
      <c r="I144" s="210">
        <f t="shared" si="44"/>
        <v>340967.28</v>
      </c>
      <c r="J144" s="331">
        <f t="shared" si="45"/>
        <v>-151032.71999999997</v>
      </c>
      <c r="K144" s="331">
        <f t="shared" si="46"/>
        <v>-306183.18</v>
      </c>
      <c r="L144" s="242"/>
      <c r="M144" s="212" t="s">
        <v>114</v>
      </c>
      <c r="N144" s="213"/>
      <c r="O144" s="213"/>
      <c r="P144" s="213"/>
      <c r="Q144" s="213"/>
      <c r="R144" s="213"/>
      <c r="S144" s="213"/>
      <c r="T144" s="213"/>
      <c r="U144" s="210">
        <f t="shared" si="47"/>
        <v>0</v>
      </c>
    </row>
    <row r="145" spans="1:22" ht="16.5" customHeight="1">
      <c r="A145" s="212" t="s">
        <v>115</v>
      </c>
      <c r="B145" s="213">
        <v>5441.67</v>
      </c>
      <c r="C145" s="213">
        <v>0</v>
      </c>
      <c r="D145" s="213">
        <v>5541.18</v>
      </c>
      <c r="E145" s="213">
        <v>27283.33</v>
      </c>
      <c r="F145" s="213">
        <v>5580.6500000000005</v>
      </c>
      <c r="G145" s="213">
        <v>17942.310000000001</v>
      </c>
      <c r="H145" s="213">
        <v>14032.139999999998</v>
      </c>
      <c r="I145" s="210">
        <f t="shared" si="44"/>
        <v>75821.279999999999</v>
      </c>
      <c r="J145" s="331">
        <f t="shared" si="45"/>
        <v>-44178.720000000001</v>
      </c>
      <c r="K145" s="331">
        <f t="shared" si="46"/>
        <v>-43607.17</v>
      </c>
      <c r="L145" s="242"/>
      <c r="M145" s="212" t="s">
        <v>115</v>
      </c>
      <c r="N145" s="213"/>
      <c r="O145" s="213"/>
      <c r="P145" s="213"/>
      <c r="Q145" s="213"/>
      <c r="R145" s="213"/>
      <c r="S145" s="213"/>
      <c r="T145" s="213"/>
      <c r="U145" s="210">
        <f t="shared" si="47"/>
        <v>0</v>
      </c>
    </row>
    <row r="146" spans="1:22" ht="16.5" customHeight="1">
      <c r="A146" s="204" t="s">
        <v>116</v>
      </c>
      <c r="B146" s="215">
        <f>SUM(B140:B145)</f>
        <v>5441.67</v>
      </c>
      <c r="C146" s="215">
        <f t="shared" ref="C146:I146" si="48">SUM(C140:C145)</f>
        <v>148502.79</v>
      </c>
      <c r="D146" s="215">
        <f t="shared" si="48"/>
        <v>281231.13</v>
      </c>
      <c r="E146" s="215">
        <f t="shared" si="48"/>
        <v>278446.45000000007</v>
      </c>
      <c r="F146" s="215">
        <f t="shared" si="48"/>
        <v>88354.33</v>
      </c>
      <c r="G146" s="215">
        <f t="shared" si="48"/>
        <v>440348.44</v>
      </c>
      <c r="H146" s="215">
        <f t="shared" si="48"/>
        <v>343482.47</v>
      </c>
      <c r="I146" s="215">
        <f t="shared" si="48"/>
        <v>1585807.28</v>
      </c>
      <c r="J146" s="331">
        <f t="shared" si="45"/>
        <v>-298192.71999999997</v>
      </c>
      <c r="K146" s="331">
        <f t="shared" si="46"/>
        <v>-478638.41999999993</v>
      </c>
      <c r="L146" s="240"/>
      <c r="M146" s="204" t="s">
        <v>116</v>
      </c>
      <c r="N146" s="215">
        <f>SUM(N140:N145)</f>
        <v>0</v>
      </c>
      <c r="O146" s="215">
        <f t="shared" ref="O146:U146" si="49">SUM(O140:O145)</f>
        <v>0</v>
      </c>
      <c r="P146" s="215">
        <f t="shared" si="49"/>
        <v>0</v>
      </c>
      <c r="Q146" s="215">
        <f t="shared" si="49"/>
        <v>0</v>
      </c>
      <c r="R146" s="215">
        <f t="shared" si="49"/>
        <v>0</v>
      </c>
      <c r="S146" s="215">
        <f t="shared" si="49"/>
        <v>0</v>
      </c>
      <c r="T146" s="215">
        <f t="shared" si="49"/>
        <v>0</v>
      </c>
      <c r="U146" s="215">
        <f t="shared" si="49"/>
        <v>0</v>
      </c>
    </row>
    <row r="147" spans="1:22">
      <c r="A147" s="220"/>
      <c r="B147" s="335" t="s">
        <v>171</v>
      </c>
      <c r="C147" s="335" t="s">
        <v>171</v>
      </c>
      <c r="D147" s="335" t="s">
        <v>171</v>
      </c>
      <c r="E147" s="335" t="s">
        <v>171</v>
      </c>
      <c r="F147" s="335" t="s">
        <v>171</v>
      </c>
      <c r="G147" s="335" t="s">
        <v>171</v>
      </c>
      <c r="H147" s="335" t="s">
        <v>171</v>
      </c>
      <c r="I147" s="221"/>
      <c r="J147" s="221"/>
      <c r="K147" s="221"/>
      <c r="L147" s="221"/>
      <c r="M147" s="221"/>
      <c r="N147" s="222"/>
      <c r="O147" s="217"/>
      <c r="Q147" s="220"/>
      <c r="R147" s="217"/>
      <c r="S147" s="217"/>
      <c r="T147" s="217"/>
      <c r="U147" s="217"/>
      <c r="V147" s="223"/>
    </row>
    <row r="148" spans="1:22">
      <c r="A148" s="220"/>
      <c r="B148" s="221"/>
      <c r="C148" s="221"/>
      <c r="D148" s="221"/>
      <c r="E148" s="221"/>
      <c r="F148" s="221"/>
      <c r="G148" s="348" t="s">
        <v>173</v>
      </c>
      <c r="H148" s="349"/>
      <c r="I148" s="350">
        <v>204156.269999999</v>
      </c>
      <c r="J148" s="221"/>
      <c r="K148" s="221"/>
      <c r="L148" s="221"/>
      <c r="M148" s="221"/>
      <c r="N148" s="222"/>
      <c r="O148" s="217"/>
      <c r="Q148" s="220"/>
      <c r="R148" s="217"/>
      <c r="S148" s="217"/>
      <c r="T148" s="217"/>
      <c r="U148" s="217"/>
      <c r="V148" s="223"/>
    </row>
    <row r="149" spans="1:22">
      <c r="A149" s="220"/>
      <c r="B149" s="221"/>
      <c r="C149" s="221"/>
      <c r="D149" s="221"/>
      <c r="E149" s="221"/>
      <c r="F149" s="221"/>
      <c r="G149" s="348" t="s">
        <v>174</v>
      </c>
      <c r="H149" s="349"/>
      <c r="I149" s="349">
        <f>I146-I148</f>
        <v>1381651.0100000009</v>
      </c>
      <c r="J149" s="221"/>
      <c r="K149" s="221"/>
      <c r="L149" s="221"/>
      <c r="M149" s="221"/>
      <c r="N149" s="222"/>
      <c r="O149" s="217"/>
      <c r="Q149" s="220"/>
      <c r="R149" s="217"/>
      <c r="S149" s="217"/>
      <c r="T149" s="217"/>
      <c r="U149" s="217"/>
      <c r="V149" s="223"/>
    </row>
    <row r="150" spans="1:22">
      <c r="A150" s="220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2"/>
      <c r="O150" s="217"/>
      <c r="Q150" s="220"/>
      <c r="R150" s="217"/>
      <c r="S150" s="217"/>
      <c r="T150" s="217"/>
      <c r="U150" s="217"/>
      <c r="V150" s="223"/>
    </row>
    <row r="151" spans="1:22">
      <c r="A151" s="220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2"/>
      <c r="O151" s="217"/>
      <c r="Q151" s="220"/>
      <c r="R151" s="217"/>
      <c r="S151" s="217"/>
      <c r="T151" s="217"/>
      <c r="U151" s="217"/>
      <c r="V151" s="223"/>
    </row>
    <row r="152" spans="1:22">
      <c r="A152" s="220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2"/>
      <c r="O152" s="217"/>
      <c r="Q152" s="220"/>
      <c r="R152" s="217"/>
      <c r="S152" s="217"/>
      <c r="T152" s="217"/>
      <c r="U152" s="217"/>
      <c r="V152" s="223"/>
    </row>
    <row r="153" spans="1:22">
      <c r="A153" s="220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2"/>
      <c r="O153" s="217"/>
      <c r="Q153" s="220"/>
      <c r="R153" s="217"/>
      <c r="S153" s="217"/>
      <c r="T153" s="217"/>
      <c r="U153" s="217"/>
      <c r="V153" s="223"/>
    </row>
    <row r="154" spans="1:22" s="250" customFormat="1" ht="22.5">
      <c r="A154" s="247" t="s">
        <v>151</v>
      </c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7" t="s">
        <v>152</v>
      </c>
      <c r="N154" s="248"/>
      <c r="O154" s="248"/>
      <c r="P154" s="248"/>
      <c r="Q154" s="248"/>
      <c r="R154" s="248"/>
      <c r="S154" s="248"/>
      <c r="T154" s="248"/>
      <c r="U154" s="248"/>
    </row>
    <row r="155" spans="1:22" s="250" customFormat="1" ht="13.5" customHeight="1">
      <c r="A155" s="251" t="s">
        <v>106</v>
      </c>
      <c r="B155" s="252">
        <v>45487</v>
      </c>
      <c r="C155" s="252">
        <v>45488</v>
      </c>
      <c r="D155" s="252">
        <v>45489</v>
      </c>
      <c r="E155" s="252">
        <v>45490</v>
      </c>
      <c r="F155" s="252">
        <v>45491</v>
      </c>
      <c r="G155" s="252">
        <v>45492</v>
      </c>
      <c r="H155" s="252">
        <v>45493</v>
      </c>
      <c r="I155" s="253" t="s">
        <v>107</v>
      </c>
      <c r="J155" s="248"/>
      <c r="K155" s="248"/>
      <c r="L155" s="248"/>
      <c r="M155" s="251" t="s">
        <v>106</v>
      </c>
      <c r="N155" s="252">
        <v>45487</v>
      </c>
      <c r="O155" s="252">
        <v>45488</v>
      </c>
      <c r="P155" s="252">
        <v>45489</v>
      </c>
      <c r="Q155" s="252">
        <v>45490</v>
      </c>
      <c r="R155" s="252">
        <v>45491</v>
      </c>
      <c r="S155" s="252">
        <v>45492</v>
      </c>
      <c r="T155" s="252">
        <v>45493</v>
      </c>
      <c r="U155" s="253" t="s">
        <v>107</v>
      </c>
    </row>
    <row r="156" spans="1:22" s="250" customFormat="1">
      <c r="A156" s="257" t="s">
        <v>108</v>
      </c>
      <c r="B156" s="258" t="s">
        <v>128</v>
      </c>
      <c r="C156" s="258" t="s">
        <v>128</v>
      </c>
      <c r="D156" s="258" t="s">
        <v>128</v>
      </c>
      <c r="E156" s="258" t="s">
        <v>128</v>
      </c>
      <c r="F156" s="258" t="s">
        <v>128</v>
      </c>
      <c r="G156" s="258" t="s">
        <v>128</v>
      </c>
      <c r="H156" s="258" t="s">
        <v>128</v>
      </c>
      <c r="I156" s="259" t="s">
        <v>121</v>
      </c>
      <c r="J156" s="248"/>
      <c r="K156" s="248"/>
      <c r="L156" s="248"/>
      <c r="M156" s="257" t="s">
        <v>108</v>
      </c>
      <c r="N156" s="258" t="s">
        <v>129</v>
      </c>
      <c r="O156" s="258" t="s">
        <v>129</v>
      </c>
      <c r="P156" s="258" t="s">
        <v>129</v>
      </c>
      <c r="Q156" s="258" t="s">
        <v>129</v>
      </c>
      <c r="R156" s="258" t="s">
        <v>129</v>
      </c>
      <c r="S156" s="258" t="s">
        <v>129</v>
      </c>
      <c r="T156" s="258" t="s">
        <v>129</v>
      </c>
      <c r="U156" s="259" t="s">
        <v>121</v>
      </c>
    </row>
    <row r="157" spans="1:22" s="250" customFormat="1">
      <c r="A157" s="263" t="s">
        <v>110</v>
      </c>
      <c r="B157" s="264">
        <v>119525.78</v>
      </c>
      <c r="C157" s="264">
        <v>47634.819999999992</v>
      </c>
      <c r="D157" s="264">
        <v>36018</v>
      </c>
      <c r="E157" s="264">
        <v>222275.05</v>
      </c>
      <c r="F157" s="264">
        <v>44139.73</v>
      </c>
      <c r="G157" s="264">
        <v>133799.26</v>
      </c>
      <c r="H157" s="291">
        <v>72022.94</v>
      </c>
      <c r="I157" s="265">
        <f>SUM(B157:H157)</f>
        <v>675415.57999999984</v>
      </c>
      <c r="J157" s="248"/>
      <c r="K157" s="248"/>
      <c r="L157" s="248"/>
      <c r="M157" s="263" t="s">
        <v>110</v>
      </c>
      <c r="N157" s="264">
        <v>72961.350000000006</v>
      </c>
      <c r="O157" s="264">
        <v>40409</v>
      </c>
      <c r="P157" s="264">
        <v>8395</v>
      </c>
      <c r="Q157" s="264">
        <v>274973</v>
      </c>
      <c r="R157" s="264">
        <v>18944.25</v>
      </c>
      <c r="S157" s="264">
        <v>73798.16</v>
      </c>
      <c r="T157" s="291">
        <v>45838.05</v>
      </c>
      <c r="U157" s="265">
        <f>SUM(N157:T157)</f>
        <v>535318.81000000006</v>
      </c>
    </row>
    <row r="158" spans="1:22" s="250" customFormat="1">
      <c r="A158" s="269" t="s">
        <v>111</v>
      </c>
      <c r="B158" s="270">
        <v>11063.86</v>
      </c>
      <c r="C158" s="270">
        <v>54082.30999999999</v>
      </c>
      <c r="D158" s="270">
        <v>21585.42</v>
      </c>
      <c r="E158" s="270">
        <v>95809.42</v>
      </c>
      <c r="F158" s="270">
        <v>8629.34</v>
      </c>
      <c r="G158" s="270">
        <v>30493.920000000002</v>
      </c>
      <c r="H158" s="292">
        <v>94806.989999999991</v>
      </c>
      <c r="I158" s="265">
        <f t="shared" ref="I158:I163" si="50">SUM(B158:H158)</f>
        <v>316471.26</v>
      </c>
      <c r="J158" s="248"/>
      <c r="K158" s="248"/>
      <c r="L158" s="248"/>
      <c r="M158" s="269" t="s">
        <v>111</v>
      </c>
      <c r="N158" s="270">
        <v>1173.25</v>
      </c>
      <c r="O158" s="270">
        <v>44197.2</v>
      </c>
      <c r="P158" s="270">
        <v>15199.08</v>
      </c>
      <c r="Q158" s="270">
        <v>49751.799999999996</v>
      </c>
      <c r="R158" s="270">
        <v>15211</v>
      </c>
      <c r="S158" s="270">
        <v>55212.08</v>
      </c>
      <c r="T158" s="292">
        <v>102332.6</v>
      </c>
      <c r="U158" s="265">
        <f t="shared" ref="U158:U163" si="51">SUM(N158:T158)</f>
        <v>283077.01</v>
      </c>
    </row>
    <row r="159" spans="1:22" s="250" customFormat="1">
      <c r="A159" s="269" t="s">
        <v>112</v>
      </c>
      <c r="B159" s="270">
        <v>12614.380000000001</v>
      </c>
      <c r="C159" s="270">
        <v>0</v>
      </c>
      <c r="D159" s="270">
        <v>2734.9700000000003</v>
      </c>
      <c r="E159" s="270">
        <v>41452.330000000009</v>
      </c>
      <c r="F159" s="270">
        <v>0</v>
      </c>
      <c r="G159" s="270">
        <v>18451.829999999998</v>
      </c>
      <c r="H159" s="292">
        <v>5619.57</v>
      </c>
      <c r="I159" s="265">
        <f t="shared" si="50"/>
        <v>80873.080000000016</v>
      </c>
      <c r="J159" s="248"/>
      <c r="K159" s="248"/>
      <c r="L159" s="248"/>
      <c r="M159" s="269" t="s">
        <v>112</v>
      </c>
      <c r="N159" s="270">
        <v>18319.900000000001</v>
      </c>
      <c r="O159" s="270">
        <v>0</v>
      </c>
      <c r="P159" s="270">
        <v>1597</v>
      </c>
      <c r="Q159" s="270">
        <v>31289.5</v>
      </c>
      <c r="R159" s="270">
        <v>0</v>
      </c>
      <c r="S159" s="270">
        <v>7722</v>
      </c>
      <c r="T159" s="292">
        <v>0</v>
      </c>
      <c r="U159" s="265">
        <f t="shared" si="51"/>
        <v>58928.4</v>
      </c>
    </row>
    <row r="160" spans="1:22" s="250" customFormat="1">
      <c r="A160" s="269" t="s">
        <v>113</v>
      </c>
      <c r="B160" s="270">
        <v>15088.01</v>
      </c>
      <c r="C160" s="270">
        <v>0</v>
      </c>
      <c r="D160" s="270">
        <v>4522.01</v>
      </c>
      <c r="E160" s="270">
        <v>9179.49</v>
      </c>
      <c r="F160" s="270">
        <v>0</v>
      </c>
      <c r="G160" s="270">
        <v>46507.62</v>
      </c>
      <c r="H160" s="292">
        <v>13756.929999999998</v>
      </c>
      <c r="I160" s="265">
        <f t="shared" si="50"/>
        <v>89054.06</v>
      </c>
      <c r="J160" s="248"/>
      <c r="K160" s="248"/>
      <c r="L160" s="248"/>
      <c r="M160" s="269" t="s">
        <v>113</v>
      </c>
      <c r="N160" s="270">
        <v>5837</v>
      </c>
      <c r="O160" s="270">
        <v>0</v>
      </c>
      <c r="P160" s="270">
        <v>740</v>
      </c>
      <c r="Q160" s="270">
        <v>22438</v>
      </c>
      <c r="R160" s="270">
        <v>0</v>
      </c>
      <c r="S160" s="270">
        <v>28406</v>
      </c>
      <c r="T160" s="292">
        <v>8019</v>
      </c>
      <c r="U160" s="265">
        <f t="shared" si="51"/>
        <v>65440</v>
      </c>
    </row>
    <row r="161" spans="1:22" s="250" customFormat="1">
      <c r="A161" s="269" t="s">
        <v>114</v>
      </c>
      <c r="B161" s="270">
        <v>14081.23</v>
      </c>
      <c r="C161" s="270">
        <v>0</v>
      </c>
      <c r="D161" s="270">
        <v>53919.130000000005</v>
      </c>
      <c r="E161" s="270">
        <v>1471.1399999999999</v>
      </c>
      <c r="F161" s="270">
        <v>13888</v>
      </c>
      <c r="G161" s="270">
        <v>21481.809999999994</v>
      </c>
      <c r="H161" s="292">
        <v>39017.599999999991</v>
      </c>
      <c r="I161" s="265">
        <f t="shared" si="50"/>
        <v>143858.90999999997</v>
      </c>
      <c r="J161" s="248"/>
      <c r="K161" s="248"/>
      <c r="L161" s="248"/>
      <c r="M161" s="269" t="s">
        <v>114</v>
      </c>
      <c r="N161" s="270">
        <v>52994.200000000004</v>
      </c>
      <c r="O161" s="270">
        <v>0</v>
      </c>
      <c r="P161" s="270">
        <v>30155.999999999996</v>
      </c>
      <c r="Q161" s="270">
        <v>5355</v>
      </c>
      <c r="R161" s="270">
        <v>1000</v>
      </c>
      <c r="S161" s="270">
        <v>12127.2</v>
      </c>
      <c r="T161" s="292">
        <v>40300.400000000001</v>
      </c>
      <c r="U161" s="265">
        <f t="shared" si="51"/>
        <v>141932.79999999999</v>
      </c>
    </row>
    <row r="162" spans="1:22" s="250" customFormat="1">
      <c r="A162" s="269" t="s">
        <v>115</v>
      </c>
      <c r="B162" s="270">
        <v>12216.389999999998</v>
      </c>
      <c r="C162" s="270">
        <v>2980</v>
      </c>
      <c r="D162" s="270">
        <v>0</v>
      </c>
      <c r="E162" s="270">
        <v>13690.170000000002</v>
      </c>
      <c r="F162" s="270">
        <v>22555.420000000006</v>
      </c>
      <c r="G162" s="270">
        <v>5127.6000000000004</v>
      </c>
      <c r="H162" s="292">
        <v>64228.500000000015</v>
      </c>
      <c r="I162" s="265">
        <f t="shared" si="50"/>
        <v>120798.08000000002</v>
      </c>
      <c r="J162" s="248"/>
      <c r="K162" s="248"/>
      <c r="L162" s="248"/>
      <c r="M162" s="269" t="s">
        <v>115</v>
      </c>
      <c r="N162" s="270">
        <v>1748</v>
      </c>
      <c r="O162" s="270">
        <v>4979</v>
      </c>
      <c r="P162" s="270">
        <v>0</v>
      </c>
      <c r="Q162" s="270">
        <v>16878</v>
      </c>
      <c r="R162" s="270">
        <v>17111</v>
      </c>
      <c r="S162" s="270">
        <v>1510</v>
      </c>
      <c r="T162" s="292">
        <v>52194.990000000005</v>
      </c>
      <c r="U162" s="265">
        <f t="shared" si="51"/>
        <v>94420.99</v>
      </c>
    </row>
    <row r="163" spans="1:22" s="250" customFormat="1">
      <c r="A163" s="257" t="s">
        <v>116</v>
      </c>
      <c r="B163" s="272">
        <f>SUM(B157:B162)</f>
        <v>184589.65</v>
      </c>
      <c r="C163" s="272">
        <f t="shared" ref="C163:H163" si="52">SUM(C157:C162)</f>
        <v>104697.12999999998</v>
      </c>
      <c r="D163" s="272">
        <f t="shared" si="52"/>
        <v>118779.53</v>
      </c>
      <c r="E163" s="272">
        <f t="shared" si="52"/>
        <v>383877.6</v>
      </c>
      <c r="F163" s="272">
        <f t="shared" si="52"/>
        <v>89212.49000000002</v>
      </c>
      <c r="G163" s="272">
        <f t="shared" si="52"/>
        <v>255862.04</v>
      </c>
      <c r="H163" s="293">
        <f t="shared" si="52"/>
        <v>289452.52999999997</v>
      </c>
      <c r="I163" s="273">
        <f t="shared" si="50"/>
        <v>1426470.97</v>
      </c>
      <c r="J163" s="248"/>
      <c r="K163" s="248"/>
      <c r="L163" s="248"/>
      <c r="M163" s="257" t="s">
        <v>116</v>
      </c>
      <c r="N163" s="272">
        <f>SUM(N157:N162)</f>
        <v>153033.70000000001</v>
      </c>
      <c r="O163" s="272">
        <f t="shared" ref="O163:T163" si="53">SUM(O157:O162)</f>
        <v>89585.2</v>
      </c>
      <c r="P163" s="272">
        <f t="shared" si="53"/>
        <v>56087.08</v>
      </c>
      <c r="Q163" s="272">
        <f t="shared" si="53"/>
        <v>400685.3</v>
      </c>
      <c r="R163" s="272">
        <f t="shared" si="53"/>
        <v>52266.25</v>
      </c>
      <c r="S163" s="272">
        <f t="shared" si="53"/>
        <v>178775.44</v>
      </c>
      <c r="T163" s="293">
        <f t="shared" si="53"/>
        <v>248685.04000000004</v>
      </c>
      <c r="U163" s="273">
        <f t="shared" si="51"/>
        <v>1179118.01</v>
      </c>
    </row>
    <row r="164" spans="1:22" s="250" customFormat="1">
      <c r="A164" s="303"/>
      <c r="B164" s="304"/>
      <c r="C164" s="304"/>
      <c r="D164" s="304"/>
      <c r="E164" s="304"/>
      <c r="F164" s="304"/>
      <c r="G164" s="304"/>
      <c r="H164" s="304"/>
      <c r="I164" s="304"/>
      <c r="J164" s="304"/>
      <c r="K164" s="304"/>
      <c r="L164" s="304"/>
      <c r="M164" s="304"/>
      <c r="N164" s="305"/>
      <c r="O164" s="274"/>
      <c r="Q164" s="303"/>
      <c r="R164" s="274"/>
      <c r="S164" s="274"/>
      <c r="T164" s="274"/>
      <c r="U164" s="274"/>
      <c r="V164" s="306"/>
    </row>
    <row r="165" spans="1:22" s="250" customFormat="1">
      <c r="A165" s="303"/>
      <c r="B165" s="304"/>
      <c r="C165" s="304"/>
      <c r="D165" s="304"/>
      <c r="E165" s="304"/>
      <c r="F165" s="304"/>
      <c r="G165" s="304"/>
      <c r="H165" s="304"/>
      <c r="I165" s="304"/>
      <c r="J165" s="304"/>
      <c r="K165" s="304"/>
      <c r="L165" s="304"/>
      <c r="M165" s="304"/>
      <c r="N165" s="305"/>
      <c r="O165" s="274"/>
      <c r="Q165" s="303"/>
      <c r="R165" s="274"/>
      <c r="S165" s="274"/>
      <c r="T165" s="274"/>
      <c r="U165" s="274"/>
      <c r="V165" s="306"/>
    </row>
    <row r="166" spans="1:22" s="250" customFormat="1">
      <c r="A166" s="303"/>
      <c r="B166" s="304"/>
      <c r="C166" s="304"/>
      <c r="D166" s="304"/>
      <c r="E166" s="304"/>
      <c r="F166" s="304"/>
      <c r="G166" s="304"/>
      <c r="H166" s="304"/>
      <c r="I166" s="304"/>
      <c r="J166" s="304"/>
      <c r="K166" s="304"/>
      <c r="L166" s="304"/>
      <c r="M166" s="304"/>
      <c r="N166" s="305"/>
      <c r="O166" s="274"/>
      <c r="Q166" s="303"/>
      <c r="R166" s="274"/>
      <c r="S166" s="274"/>
      <c r="T166" s="274"/>
      <c r="U166" s="274"/>
      <c r="V166" s="306"/>
    </row>
    <row r="167" spans="1:22" s="250" customFormat="1" ht="22.5">
      <c r="A167" s="247" t="s">
        <v>153</v>
      </c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</row>
    <row r="168" spans="1:22" s="250" customFormat="1">
      <c r="A168" s="251" t="s">
        <v>106</v>
      </c>
      <c r="B168" s="252">
        <v>45487</v>
      </c>
      <c r="C168" s="252">
        <v>45488</v>
      </c>
      <c r="D168" s="252">
        <v>45489</v>
      </c>
      <c r="E168" s="252">
        <v>45490</v>
      </c>
      <c r="F168" s="252">
        <v>45491</v>
      </c>
      <c r="G168" s="252">
        <v>45492</v>
      </c>
      <c r="H168" s="252">
        <v>45493</v>
      </c>
      <c r="I168" s="253" t="s">
        <v>107</v>
      </c>
      <c r="J168" s="248"/>
      <c r="K168" s="248"/>
      <c r="L168" s="248"/>
    </row>
    <row r="169" spans="1:22" s="250" customFormat="1">
      <c r="A169" s="257" t="s">
        <v>108</v>
      </c>
      <c r="B169" s="258" t="s">
        <v>109</v>
      </c>
      <c r="C169" s="258" t="s">
        <v>109</v>
      </c>
      <c r="D169" s="258" t="s">
        <v>109</v>
      </c>
      <c r="E169" s="258" t="s">
        <v>109</v>
      </c>
      <c r="F169" s="258" t="s">
        <v>109</v>
      </c>
      <c r="G169" s="258" t="s">
        <v>109</v>
      </c>
      <c r="H169" s="258" t="s">
        <v>109</v>
      </c>
      <c r="I169" s="259" t="s">
        <v>121</v>
      </c>
      <c r="J169" s="248"/>
      <c r="K169" s="248"/>
      <c r="L169" s="248"/>
    </row>
    <row r="170" spans="1:22" s="250" customFormat="1">
      <c r="A170" s="263" t="s">
        <v>110</v>
      </c>
      <c r="B170" s="307">
        <v>9</v>
      </c>
      <c r="C170" s="307">
        <v>9</v>
      </c>
      <c r="D170" s="307">
        <v>7</v>
      </c>
      <c r="E170" s="307">
        <v>18</v>
      </c>
      <c r="F170" s="307">
        <v>8</v>
      </c>
      <c r="G170" s="307">
        <v>11</v>
      </c>
      <c r="H170" s="307">
        <v>10</v>
      </c>
      <c r="I170" s="308">
        <f>SUM(B170:H170)</f>
        <v>72</v>
      </c>
      <c r="J170" s="248"/>
      <c r="K170" s="248"/>
      <c r="L170" s="248"/>
    </row>
    <row r="171" spans="1:22" s="250" customFormat="1">
      <c r="A171" s="269" t="s">
        <v>111</v>
      </c>
      <c r="B171" s="270">
        <v>7</v>
      </c>
      <c r="C171" s="270">
        <v>15</v>
      </c>
      <c r="D171" s="270">
        <v>7</v>
      </c>
      <c r="E171" s="270">
        <v>14</v>
      </c>
      <c r="F171" s="270">
        <v>5</v>
      </c>
      <c r="G171" s="270">
        <v>10</v>
      </c>
      <c r="H171" s="270">
        <v>24</v>
      </c>
      <c r="I171" s="309">
        <f t="shared" ref="I171:I175" si="54">SUM(B171:H171)</f>
        <v>82</v>
      </c>
      <c r="J171" s="248"/>
      <c r="K171" s="248"/>
      <c r="L171" s="248"/>
    </row>
    <row r="172" spans="1:22" s="250" customFormat="1">
      <c r="A172" s="269" t="s">
        <v>112</v>
      </c>
      <c r="B172" s="270">
        <v>4</v>
      </c>
      <c r="C172" s="270"/>
      <c r="D172" s="270">
        <v>4</v>
      </c>
      <c r="E172" s="270">
        <v>6</v>
      </c>
      <c r="F172" s="270"/>
      <c r="G172" s="270">
        <v>5</v>
      </c>
      <c r="H172" s="270">
        <v>6</v>
      </c>
      <c r="I172" s="309">
        <f t="shared" si="54"/>
        <v>25</v>
      </c>
      <c r="J172" s="248"/>
      <c r="K172" s="248"/>
      <c r="L172" s="248"/>
    </row>
    <row r="173" spans="1:22" s="250" customFormat="1">
      <c r="A173" s="269" t="s">
        <v>113</v>
      </c>
      <c r="B173" s="270">
        <v>6</v>
      </c>
      <c r="C173" s="270"/>
      <c r="D173" s="270">
        <v>3</v>
      </c>
      <c r="E173" s="270">
        <v>5</v>
      </c>
      <c r="F173" s="270"/>
      <c r="G173" s="270">
        <v>6</v>
      </c>
      <c r="H173" s="270">
        <v>9</v>
      </c>
      <c r="I173" s="309">
        <f t="shared" si="54"/>
        <v>29</v>
      </c>
      <c r="J173" s="248"/>
      <c r="K173" s="248"/>
      <c r="L173" s="248"/>
    </row>
    <row r="174" spans="1:22" s="250" customFormat="1">
      <c r="A174" s="269" t="s">
        <v>114</v>
      </c>
      <c r="B174" s="270">
        <v>9</v>
      </c>
      <c r="C174" s="270"/>
      <c r="D174" s="270">
        <v>7</v>
      </c>
      <c r="E174" s="270">
        <v>1</v>
      </c>
      <c r="F174" s="270">
        <v>2</v>
      </c>
      <c r="G174" s="270">
        <v>8</v>
      </c>
      <c r="H174" s="270">
        <v>11</v>
      </c>
      <c r="I174" s="309">
        <f t="shared" si="54"/>
        <v>38</v>
      </c>
      <c r="J174" s="248"/>
      <c r="K174" s="248"/>
      <c r="L174" s="248"/>
    </row>
    <row r="175" spans="1:22" s="250" customFormat="1">
      <c r="A175" s="269" t="s">
        <v>115</v>
      </c>
      <c r="B175" s="270">
        <v>7</v>
      </c>
      <c r="C175" s="270">
        <v>1</v>
      </c>
      <c r="D175" s="270"/>
      <c r="E175" s="270">
        <v>5</v>
      </c>
      <c r="F175" s="270">
        <v>8</v>
      </c>
      <c r="G175" s="270">
        <v>3</v>
      </c>
      <c r="H175" s="270">
        <v>16</v>
      </c>
      <c r="I175" s="309">
        <f t="shared" si="54"/>
        <v>40</v>
      </c>
      <c r="J175" s="248"/>
      <c r="K175" s="248"/>
      <c r="L175" s="248"/>
    </row>
    <row r="176" spans="1:22" s="250" customFormat="1">
      <c r="A176" s="257" t="s">
        <v>116</v>
      </c>
      <c r="B176" s="272">
        <f>SUM(B170:B175)</f>
        <v>42</v>
      </c>
      <c r="C176" s="272">
        <f t="shared" ref="C176:I176" si="55">SUM(C170:C175)</f>
        <v>25</v>
      </c>
      <c r="D176" s="272">
        <f t="shared" si="55"/>
        <v>28</v>
      </c>
      <c r="E176" s="272">
        <f t="shared" si="55"/>
        <v>49</v>
      </c>
      <c r="F176" s="272">
        <f t="shared" si="55"/>
        <v>23</v>
      </c>
      <c r="G176" s="272">
        <f t="shared" si="55"/>
        <v>43</v>
      </c>
      <c r="H176" s="272">
        <f t="shared" si="55"/>
        <v>76</v>
      </c>
      <c r="I176" s="273">
        <f t="shared" si="55"/>
        <v>286</v>
      </c>
      <c r="J176" s="248"/>
      <c r="K176" s="248"/>
      <c r="L176" s="248"/>
    </row>
    <row r="179" spans="1:22" ht="22.5">
      <c r="A179" s="197" t="s">
        <v>138</v>
      </c>
      <c r="J179" s="221"/>
      <c r="K179" s="221"/>
      <c r="L179" s="221"/>
      <c r="M179" s="197" t="s">
        <v>137</v>
      </c>
      <c r="O179" s="198"/>
      <c r="P179" s="198"/>
      <c r="Q179" s="198"/>
      <c r="R179" s="198"/>
      <c r="S179" s="198"/>
      <c r="T179" s="198"/>
      <c r="U179" s="198"/>
      <c r="V179" s="223"/>
    </row>
    <row r="180" spans="1:22">
      <c r="A180" s="200" t="s">
        <v>106</v>
      </c>
      <c r="B180" s="201">
        <v>45852</v>
      </c>
      <c r="C180" s="201">
        <v>45853</v>
      </c>
      <c r="D180" s="201">
        <v>45854</v>
      </c>
      <c r="E180" s="201">
        <v>45855</v>
      </c>
      <c r="F180" s="201">
        <v>45856</v>
      </c>
      <c r="G180" s="201">
        <v>45857</v>
      </c>
      <c r="H180" s="201">
        <v>45858</v>
      </c>
      <c r="I180" s="202" t="s">
        <v>107</v>
      </c>
      <c r="J180" s="221"/>
      <c r="K180" s="221"/>
      <c r="L180" s="221"/>
      <c r="M180" s="200" t="s">
        <v>106</v>
      </c>
      <c r="N180" s="201">
        <v>45852</v>
      </c>
      <c r="O180" s="201">
        <v>45853</v>
      </c>
      <c r="P180" s="201">
        <v>45854</v>
      </c>
      <c r="Q180" s="201">
        <v>45855</v>
      </c>
      <c r="R180" s="201">
        <v>45856</v>
      </c>
      <c r="S180" s="201">
        <v>45857</v>
      </c>
      <c r="T180" s="201">
        <v>45858</v>
      </c>
      <c r="U180" s="202" t="s">
        <v>107</v>
      </c>
      <c r="V180" s="223"/>
    </row>
    <row r="181" spans="1:22">
      <c r="A181" s="204" t="s">
        <v>108</v>
      </c>
      <c r="B181" s="205" t="s">
        <v>133</v>
      </c>
      <c r="C181" s="205" t="s">
        <v>133</v>
      </c>
      <c r="D181" s="205" t="s">
        <v>133</v>
      </c>
      <c r="E181" s="205" t="s">
        <v>133</v>
      </c>
      <c r="F181" s="205" t="s">
        <v>133</v>
      </c>
      <c r="G181" s="205" t="s">
        <v>133</v>
      </c>
      <c r="H181" s="205" t="s">
        <v>133</v>
      </c>
      <c r="I181" s="206" t="s">
        <v>121</v>
      </c>
      <c r="J181" s="221"/>
      <c r="K181" s="221"/>
      <c r="L181" s="221"/>
      <c r="M181" s="204" t="s">
        <v>108</v>
      </c>
      <c r="N181" s="205" t="s">
        <v>129</v>
      </c>
      <c r="O181" s="205" t="s">
        <v>129</v>
      </c>
      <c r="P181" s="205" t="s">
        <v>129</v>
      </c>
      <c r="Q181" s="205" t="s">
        <v>129</v>
      </c>
      <c r="R181" s="205" t="s">
        <v>129</v>
      </c>
      <c r="S181" s="205" t="s">
        <v>129</v>
      </c>
      <c r="T181" s="205" t="s">
        <v>129</v>
      </c>
      <c r="U181" s="206" t="s">
        <v>121</v>
      </c>
      <c r="V181" s="223"/>
    </row>
    <row r="182" spans="1:22">
      <c r="A182" s="208" t="s">
        <v>110</v>
      </c>
      <c r="B182" s="299">
        <v>70000</v>
      </c>
      <c r="C182" s="299">
        <v>55000</v>
      </c>
      <c r="D182" s="299">
        <v>40000</v>
      </c>
      <c r="E182" s="299">
        <v>70000</v>
      </c>
      <c r="F182" s="299">
        <v>330000</v>
      </c>
      <c r="G182" s="299">
        <v>250000</v>
      </c>
      <c r="H182" s="299">
        <v>35000</v>
      </c>
      <c r="I182" s="300">
        <f>SUM(B182:H182)</f>
        <v>850000</v>
      </c>
      <c r="J182" s="221"/>
      <c r="K182" s="221"/>
      <c r="L182" s="221"/>
      <c r="M182" s="208" t="s">
        <v>110</v>
      </c>
      <c r="N182" s="327">
        <v>59350</v>
      </c>
      <c r="O182" s="327">
        <v>53050</v>
      </c>
      <c r="P182" s="327">
        <v>57580</v>
      </c>
      <c r="Q182" s="327">
        <v>71150</v>
      </c>
      <c r="R182" s="327">
        <v>305162</v>
      </c>
      <c r="S182" s="327">
        <v>234309.80000000002</v>
      </c>
      <c r="T182" s="327">
        <v>37428.9</v>
      </c>
      <c r="U182" s="300">
        <f>SUM(N182:T182)</f>
        <v>818030.70000000007</v>
      </c>
      <c r="V182" s="223"/>
    </row>
    <row r="183" spans="1:22">
      <c r="A183" s="212" t="s">
        <v>111</v>
      </c>
      <c r="B183" s="299">
        <v>20000</v>
      </c>
      <c r="C183" s="299">
        <v>20000</v>
      </c>
      <c r="D183" s="299">
        <v>20000</v>
      </c>
      <c r="E183" s="299">
        <v>200000</v>
      </c>
      <c r="F183" s="299">
        <v>25000</v>
      </c>
      <c r="G183" s="299">
        <v>25000</v>
      </c>
      <c r="H183" s="299">
        <v>35000</v>
      </c>
      <c r="I183" s="301">
        <f t="shared" ref="I183:I187" si="56">SUM(B183:H183)</f>
        <v>345000</v>
      </c>
      <c r="J183" s="221"/>
      <c r="K183" s="221"/>
      <c r="L183" s="221"/>
      <c r="M183" s="212" t="s">
        <v>111</v>
      </c>
      <c r="N183" s="299">
        <v>27000</v>
      </c>
      <c r="O183" s="299">
        <v>46800</v>
      </c>
      <c r="P183" s="299">
        <v>27100</v>
      </c>
      <c r="Q183" s="299">
        <v>173000</v>
      </c>
      <c r="R183" s="299">
        <v>67800</v>
      </c>
      <c r="S183" s="299">
        <v>61800</v>
      </c>
      <c r="T183" s="299">
        <v>27600</v>
      </c>
      <c r="U183" s="301">
        <f t="shared" ref="U183:U187" si="57">SUM(N183:T183)</f>
        <v>431100</v>
      </c>
      <c r="V183" s="223"/>
    </row>
    <row r="184" spans="1:22">
      <c r="A184" s="212" t="s">
        <v>112</v>
      </c>
      <c r="B184" s="299">
        <v>0</v>
      </c>
      <c r="C184" s="299">
        <v>15000</v>
      </c>
      <c r="D184" s="299">
        <v>20000</v>
      </c>
      <c r="E184" s="299">
        <v>16000</v>
      </c>
      <c r="F184" s="299">
        <v>25000</v>
      </c>
      <c r="G184" s="299">
        <v>40000</v>
      </c>
      <c r="H184" s="299">
        <v>25000</v>
      </c>
      <c r="I184" s="301">
        <f t="shared" si="56"/>
        <v>141000</v>
      </c>
      <c r="J184" s="221"/>
      <c r="K184" s="221"/>
      <c r="L184" s="221"/>
      <c r="M184" s="212" t="s">
        <v>112</v>
      </c>
      <c r="N184" s="299">
        <v>0</v>
      </c>
      <c r="O184" s="299">
        <v>15500</v>
      </c>
      <c r="P184" s="299">
        <v>21500</v>
      </c>
      <c r="Q184" s="299">
        <v>20700</v>
      </c>
      <c r="R184" s="299">
        <v>1500</v>
      </c>
      <c r="S184" s="299">
        <v>46600</v>
      </c>
      <c r="T184" s="299">
        <v>31500</v>
      </c>
      <c r="U184" s="301">
        <f t="shared" si="57"/>
        <v>137300</v>
      </c>
      <c r="V184" s="223"/>
    </row>
    <row r="185" spans="1:22">
      <c r="A185" s="212" t="s">
        <v>113</v>
      </c>
      <c r="B185" s="299">
        <v>0</v>
      </c>
      <c r="C185" s="299">
        <v>16000</v>
      </c>
      <c r="D185" s="299">
        <v>19000</v>
      </c>
      <c r="E185" s="299">
        <v>0</v>
      </c>
      <c r="F185" s="299">
        <v>45000</v>
      </c>
      <c r="G185" s="299">
        <v>104000</v>
      </c>
      <c r="H185" s="299">
        <v>21000</v>
      </c>
      <c r="I185" s="301">
        <f t="shared" si="56"/>
        <v>205000</v>
      </c>
      <c r="J185" s="221"/>
      <c r="K185" s="221"/>
      <c r="L185" s="221"/>
      <c r="M185" s="212" t="s">
        <v>113</v>
      </c>
      <c r="N185" s="299">
        <v>0</v>
      </c>
      <c r="O185" s="299">
        <v>14650</v>
      </c>
      <c r="P185" s="299">
        <v>17650</v>
      </c>
      <c r="Q185" s="299">
        <v>0</v>
      </c>
      <c r="R185" s="299">
        <v>43000</v>
      </c>
      <c r="S185" s="299">
        <v>131100</v>
      </c>
      <c r="T185" s="299">
        <v>19200</v>
      </c>
      <c r="U185" s="301">
        <f t="shared" si="57"/>
        <v>225600</v>
      </c>
      <c r="V185" s="223"/>
    </row>
    <row r="186" spans="1:22">
      <c r="A186" s="212" t="s">
        <v>114</v>
      </c>
      <c r="B186" s="299"/>
      <c r="C186" s="299">
        <v>15000</v>
      </c>
      <c r="D186" s="299">
        <v>25000</v>
      </c>
      <c r="E186" s="299">
        <v>15000</v>
      </c>
      <c r="F186" s="299">
        <v>50000</v>
      </c>
      <c r="G186" s="299">
        <v>110000</v>
      </c>
      <c r="H186" s="299">
        <v>60000</v>
      </c>
      <c r="I186" s="301">
        <f t="shared" si="56"/>
        <v>275000</v>
      </c>
      <c r="J186" s="221"/>
      <c r="K186" s="221"/>
      <c r="L186" s="221"/>
      <c r="M186" s="212" t="s">
        <v>114</v>
      </c>
      <c r="N186" s="299">
        <v>0</v>
      </c>
      <c r="O186" s="299">
        <v>10000</v>
      </c>
      <c r="P186" s="299">
        <v>16668</v>
      </c>
      <c r="Q186" s="299">
        <v>10000</v>
      </c>
      <c r="R186" s="299">
        <v>25343.666666666664</v>
      </c>
      <c r="S186" s="299">
        <v>68000</v>
      </c>
      <c r="T186" s="299">
        <v>36666.666666666664</v>
      </c>
      <c r="U186" s="301">
        <f t="shared" si="57"/>
        <v>166678.33333333331</v>
      </c>
      <c r="V186" s="223"/>
    </row>
    <row r="187" spans="1:22">
      <c r="A187" s="212" t="s">
        <v>115</v>
      </c>
      <c r="B187" s="299">
        <v>15000</v>
      </c>
      <c r="C187" s="299">
        <v>0</v>
      </c>
      <c r="D187" s="299">
        <v>10000</v>
      </c>
      <c r="E187" s="299">
        <v>10000</v>
      </c>
      <c r="F187" s="299">
        <v>15000</v>
      </c>
      <c r="G187" s="299">
        <v>20000</v>
      </c>
      <c r="H187" s="299">
        <v>15000</v>
      </c>
      <c r="I187" s="301">
        <f t="shared" si="56"/>
        <v>85000</v>
      </c>
      <c r="J187" s="221"/>
      <c r="K187" s="221"/>
      <c r="L187" s="221"/>
      <c r="M187" s="212" t="s">
        <v>115</v>
      </c>
      <c r="N187" s="299">
        <v>10000</v>
      </c>
      <c r="O187" s="299">
        <v>0</v>
      </c>
      <c r="P187" s="299">
        <v>15000</v>
      </c>
      <c r="Q187" s="299">
        <v>15000</v>
      </c>
      <c r="R187" s="299">
        <v>20000</v>
      </c>
      <c r="S187" s="299">
        <v>25000</v>
      </c>
      <c r="T187" s="299">
        <v>20000</v>
      </c>
      <c r="U187" s="301">
        <f t="shared" si="57"/>
        <v>105000</v>
      </c>
      <c r="V187" s="223"/>
    </row>
    <row r="188" spans="1:22">
      <c r="A188" s="204" t="s">
        <v>116</v>
      </c>
      <c r="B188" s="295">
        <f>SUM(B182:B187)</f>
        <v>105000</v>
      </c>
      <c r="C188" s="295">
        <f t="shared" ref="C188:I188" si="58">SUM(C182:C187)</f>
        <v>121000</v>
      </c>
      <c r="D188" s="295">
        <f t="shared" si="58"/>
        <v>134000</v>
      </c>
      <c r="E188" s="295">
        <f t="shared" si="58"/>
        <v>311000</v>
      </c>
      <c r="F188" s="295">
        <f t="shared" si="58"/>
        <v>490000</v>
      </c>
      <c r="G188" s="295">
        <f t="shared" si="58"/>
        <v>549000</v>
      </c>
      <c r="H188" s="295">
        <f t="shared" si="58"/>
        <v>191000</v>
      </c>
      <c r="I188" s="295">
        <f t="shared" si="58"/>
        <v>1901000</v>
      </c>
      <c r="J188" s="221"/>
      <c r="K188" s="221"/>
      <c r="L188" s="221"/>
      <c r="M188" s="204" t="s">
        <v>116</v>
      </c>
      <c r="N188" s="295">
        <f>SUM(N182:N187)</f>
        <v>96350</v>
      </c>
      <c r="O188" s="295">
        <f t="shared" ref="O188:U188" si="59">SUM(O182:O187)</f>
        <v>140000</v>
      </c>
      <c r="P188" s="295">
        <f t="shared" si="59"/>
        <v>155498</v>
      </c>
      <c r="Q188" s="295">
        <f t="shared" si="59"/>
        <v>289850</v>
      </c>
      <c r="R188" s="295">
        <f t="shared" si="59"/>
        <v>462805.66666666669</v>
      </c>
      <c r="S188" s="295">
        <f t="shared" si="59"/>
        <v>566809.80000000005</v>
      </c>
      <c r="T188" s="295">
        <f t="shared" si="59"/>
        <v>172395.56666666665</v>
      </c>
      <c r="U188" s="295">
        <f t="shared" si="59"/>
        <v>1883709.0333333334</v>
      </c>
      <c r="V188" s="223"/>
    </row>
    <row r="191" spans="1:22" ht="22.5" outlineLevel="2">
      <c r="A191" s="197" t="s">
        <v>122</v>
      </c>
      <c r="E191" s="218"/>
      <c r="K191" s="224"/>
    </row>
    <row r="192" spans="1:22" ht="18.5" customHeight="1" outlineLevel="2">
      <c r="A192" s="225" t="s">
        <v>106</v>
      </c>
      <c r="B192" s="201">
        <v>45852</v>
      </c>
      <c r="C192" s="201">
        <v>45853</v>
      </c>
      <c r="D192" s="201">
        <v>45854</v>
      </c>
      <c r="E192" s="201">
        <v>45855</v>
      </c>
      <c r="F192" s="201">
        <v>45856</v>
      </c>
      <c r="G192" s="201">
        <v>45857</v>
      </c>
      <c r="H192" s="201">
        <v>45858</v>
      </c>
      <c r="I192" s="226" t="s">
        <v>107</v>
      </c>
      <c r="J192" s="467" t="s">
        <v>167</v>
      </c>
      <c r="M192" s="199"/>
      <c r="O192" s="198"/>
    </row>
    <row r="193" spans="1:15" ht="18.5" customHeight="1" outlineLevel="2">
      <c r="A193" s="227" t="s">
        <v>108</v>
      </c>
      <c r="B193" s="205" t="s">
        <v>117</v>
      </c>
      <c r="C193" s="205" t="s">
        <v>117</v>
      </c>
      <c r="D193" s="205" t="s">
        <v>117</v>
      </c>
      <c r="E193" s="205" t="s">
        <v>117</v>
      </c>
      <c r="F193" s="205" t="s">
        <v>117</v>
      </c>
      <c r="G193" s="205" t="s">
        <v>117</v>
      </c>
      <c r="H193" s="205" t="s">
        <v>117</v>
      </c>
      <c r="I193" s="206" t="s">
        <v>121</v>
      </c>
      <c r="J193" s="467"/>
      <c r="L193" s="199"/>
      <c r="M193" s="199"/>
    </row>
    <row r="194" spans="1:15" ht="17.5" outlineLevel="2">
      <c r="A194" s="228" t="s">
        <v>110</v>
      </c>
      <c r="B194" s="213">
        <v>13</v>
      </c>
      <c r="C194" s="213">
        <v>11</v>
      </c>
      <c r="D194" s="213">
        <v>10</v>
      </c>
      <c r="E194" s="213">
        <v>15</v>
      </c>
      <c r="F194" s="213">
        <v>29</v>
      </c>
      <c r="G194" s="213">
        <v>29</v>
      </c>
      <c r="H194" s="213">
        <v>17</v>
      </c>
      <c r="I194" s="210">
        <f>SUM(B194:H194)</f>
        <v>124</v>
      </c>
      <c r="J194" s="219">
        <f t="shared" ref="J194:J200" si="60">I194-I170</f>
        <v>52</v>
      </c>
      <c r="L194" s="199"/>
      <c r="M194" s="229"/>
    </row>
    <row r="195" spans="1:15" ht="17.5" outlineLevel="2">
      <c r="A195" s="230" t="s">
        <v>111</v>
      </c>
      <c r="B195" s="213">
        <v>7</v>
      </c>
      <c r="C195" s="213">
        <v>7</v>
      </c>
      <c r="D195" s="213">
        <v>5</v>
      </c>
      <c r="E195" s="213">
        <v>20</v>
      </c>
      <c r="F195" s="213">
        <v>7</v>
      </c>
      <c r="G195" s="213">
        <v>6</v>
      </c>
      <c r="H195" s="213">
        <v>9</v>
      </c>
      <c r="I195" s="214">
        <f t="shared" ref="I195:I199" si="61">SUM(B195:H195)</f>
        <v>61</v>
      </c>
      <c r="J195" s="219">
        <f t="shared" si="60"/>
        <v>-21</v>
      </c>
      <c r="L195" s="199"/>
      <c r="M195" s="229"/>
    </row>
    <row r="196" spans="1:15" ht="17.5" outlineLevel="2">
      <c r="A196" s="230" t="s">
        <v>112</v>
      </c>
      <c r="B196" s="213"/>
      <c r="C196" s="213">
        <v>4</v>
      </c>
      <c r="D196" s="213">
        <v>5</v>
      </c>
      <c r="E196" s="213">
        <v>4</v>
      </c>
      <c r="F196" s="213">
        <v>6</v>
      </c>
      <c r="G196" s="213">
        <v>10</v>
      </c>
      <c r="H196" s="213">
        <v>6</v>
      </c>
      <c r="I196" s="214">
        <f t="shared" si="61"/>
        <v>35</v>
      </c>
      <c r="J196" s="219">
        <f t="shared" si="60"/>
        <v>10</v>
      </c>
      <c r="L196" s="199"/>
      <c r="M196" s="229"/>
    </row>
    <row r="197" spans="1:15" ht="17.5" outlineLevel="2">
      <c r="A197" s="230" t="s">
        <v>113</v>
      </c>
      <c r="B197" s="213" t="s">
        <v>126</v>
      </c>
      <c r="C197" s="213">
        <v>5</v>
      </c>
      <c r="D197" s="213">
        <v>5</v>
      </c>
      <c r="E197" s="213" t="s">
        <v>126</v>
      </c>
      <c r="F197" s="213">
        <v>9</v>
      </c>
      <c r="G197" s="213">
        <v>20</v>
      </c>
      <c r="H197" s="213">
        <v>6</v>
      </c>
      <c r="I197" s="214">
        <f t="shared" si="61"/>
        <v>45</v>
      </c>
      <c r="J197" s="219">
        <f t="shared" si="60"/>
        <v>16</v>
      </c>
      <c r="L197" s="199"/>
      <c r="M197" s="229"/>
    </row>
    <row r="198" spans="1:15" ht="17.5" outlineLevel="2">
      <c r="A198" s="230" t="s">
        <v>114</v>
      </c>
      <c r="B198" s="213"/>
      <c r="C198" s="213">
        <v>4</v>
      </c>
      <c r="D198" s="213">
        <v>5</v>
      </c>
      <c r="E198" s="213">
        <v>6</v>
      </c>
      <c r="F198" s="213">
        <v>12</v>
      </c>
      <c r="G198" s="213">
        <v>22</v>
      </c>
      <c r="H198" s="213">
        <v>15</v>
      </c>
      <c r="I198" s="214">
        <f t="shared" si="61"/>
        <v>64</v>
      </c>
      <c r="J198" s="219">
        <f t="shared" si="60"/>
        <v>26</v>
      </c>
      <c r="L198" s="199"/>
      <c r="M198" s="229"/>
    </row>
    <row r="199" spans="1:15" ht="17.5" outlineLevel="2">
      <c r="A199" s="230" t="s">
        <v>115</v>
      </c>
      <c r="B199" s="213">
        <v>4</v>
      </c>
      <c r="C199" s="213">
        <v>0</v>
      </c>
      <c r="D199" s="213">
        <v>5</v>
      </c>
      <c r="E199" s="213">
        <v>5</v>
      </c>
      <c r="F199" s="213">
        <v>6</v>
      </c>
      <c r="G199" s="213">
        <v>9</v>
      </c>
      <c r="H199" s="213">
        <v>7</v>
      </c>
      <c r="I199" s="214">
        <f t="shared" si="61"/>
        <v>36</v>
      </c>
      <c r="J199" s="219">
        <f t="shared" si="60"/>
        <v>-4</v>
      </c>
      <c r="L199" s="199"/>
      <c r="M199" s="229"/>
    </row>
    <row r="200" spans="1:15" ht="17.5" outlineLevel="2">
      <c r="A200" s="227" t="s">
        <v>116</v>
      </c>
      <c r="B200" s="215">
        <f>SUM(B194:B199)</f>
        <v>24</v>
      </c>
      <c r="C200" s="215">
        <f t="shared" ref="C200:I200" si="62">SUM(C194:C199)</f>
        <v>31</v>
      </c>
      <c r="D200" s="215">
        <f t="shared" si="62"/>
        <v>35</v>
      </c>
      <c r="E200" s="215">
        <f t="shared" si="62"/>
        <v>50</v>
      </c>
      <c r="F200" s="215">
        <f t="shared" si="62"/>
        <v>69</v>
      </c>
      <c r="G200" s="215">
        <f t="shared" si="62"/>
        <v>96</v>
      </c>
      <c r="H200" s="215">
        <f t="shared" si="62"/>
        <v>60</v>
      </c>
      <c r="I200" s="216">
        <f t="shared" si="62"/>
        <v>365</v>
      </c>
      <c r="J200" s="219">
        <f t="shared" si="60"/>
        <v>79</v>
      </c>
      <c r="L200" s="199"/>
      <c r="M200" s="229"/>
    </row>
    <row r="201" spans="1:15" outlineLevel="2">
      <c r="J201" s="221"/>
      <c r="L201" s="199"/>
    </row>
    <row r="202" spans="1:15" outlineLevel="2">
      <c r="O202" s="198"/>
    </row>
    <row r="203" spans="1:15" outlineLevel="2">
      <c r="O203" s="198"/>
    </row>
    <row r="204" spans="1:15" outlineLevel="2">
      <c r="O204" s="198"/>
    </row>
    <row r="205" spans="1:15" ht="22.5" outlineLevel="2">
      <c r="A205" s="197" t="s">
        <v>139</v>
      </c>
      <c r="E205" s="218"/>
      <c r="O205" s="198"/>
    </row>
    <row r="206" spans="1:15" ht="20" customHeight="1" outlineLevel="2">
      <c r="A206" s="225" t="s">
        <v>106</v>
      </c>
      <c r="B206" s="201">
        <v>45852</v>
      </c>
      <c r="C206" s="201">
        <v>45853</v>
      </c>
      <c r="D206" s="201">
        <v>45854</v>
      </c>
      <c r="E206" s="201">
        <v>45855</v>
      </c>
      <c r="F206" s="201">
        <v>45856</v>
      </c>
      <c r="G206" s="201">
        <v>45857</v>
      </c>
      <c r="H206" s="201">
        <v>45858</v>
      </c>
      <c r="I206" s="226" t="s">
        <v>107</v>
      </c>
      <c r="J206" s="466" t="s">
        <v>130</v>
      </c>
      <c r="K206" s="199"/>
      <c r="L206" s="466" t="s">
        <v>131</v>
      </c>
      <c r="O206" s="198"/>
    </row>
    <row r="207" spans="1:15" s="288" customFormat="1" ht="20" customHeight="1" outlineLevel="2">
      <c r="A207" s="424" t="s">
        <v>108</v>
      </c>
      <c r="B207" s="351" t="s">
        <v>192</v>
      </c>
      <c r="C207" s="351" t="s">
        <v>192</v>
      </c>
      <c r="D207" s="351" t="s">
        <v>192</v>
      </c>
      <c r="E207" s="351" t="s">
        <v>192</v>
      </c>
      <c r="F207" s="351" t="s">
        <v>192</v>
      </c>
      <c r="G207" s="351" t="s">
        <v>192</v>
      </c>
      <c r="H207" s="351" t="s">
        <v>192</v>
      </c>
      <c r="I207" s="287" t="s">
        <v>121</v>
      </c>
      <c r="J207" s="466"/>
      <c r="L207" s="466"/>
      <c r="M207" s="198"/>
      <c r="N207" s="198"/>
      <c r="O207" s="198"/>
    </row>
    <row r="208" spans="1:15" ht="17.5" outlineLevel="2">
      <c r="A208" s="228" t="s">
        <v>110</v>
      </c>
      <c r="B208" s="281">
        <v>14</v>
      </c>
      <c r="C208" s="281">
        <v>8</v>
      </c>
      <c r="D208" s="281">
        <v>4</v>
      </c>
      <c r="E208" s="281">
        <v>7</v>
      </c>
      <c r="F208" s="281">
        <v>18</v>
      </c>
      <c r="G208" s="281">
        <v>15</v>
      </c>
      <c r="H208" s="281">
        <v>9</v>
      </c>
      <c r="I208" s="210">
        <f>SUM(B208:H208)</f>
        <v>75</v>
      </c>
      <c r="J208" s="219">
        <f>I208-I194</f>
        <v>-49</v>
      </c>
      <c r="L208" s="337">
        <f>I208-I170</f>
        <v>3</v>
      </c>
      <c r="O208" s="198"/>
    </row>
    <row r="209" spans="1:22" ht="17.5" outlineLevel="2">
      <c r="A209" s="230" t="s">
        <v>111</v>
      </c>
      <c r="B209" s="282">
        <v>7</v>
      </c>
      <c r="C209" s="282">
        <v>4</v>
      </c>
      <c r="D209" s="282">
        <v>10</v>
      </c>
      <c r="E209" s="282">
        <v>7</v>
      </c>
      <c r="F209" s="282">
        <v>8</v>
      </c>
      <c r="G209" s="282">
        <v>26</v>
      </c>
      <c r="H209" s="282">
        <v>11</v>
      </c>
      <c r="I209" s="214">
        <f t="shared" ref="I209:I213" si="63">SUM(B209:H209)</f>
        <v>73</v>
      </c>
      <c r="J209" s="219">
        <f t="shared" ref="J209:J214" si="64">I209-I195</f>
        <v>12</v>
      </c>
      <c r="L209" s="219">
        <f t="shared" ref="L209:L214" si="65">I209-I171</f>
        <v>-9</v>
      </c>
      <c r="O209" s="198"/>
    </row>
    <row r="210" spans="1:22" ht="17.5" outlineLevel="2">
      <c r="A210" s="230" t="s">
        <v>112</v>
      </c>
      <c r="B210" s="282"/>
      <c r="C210" s="282">
        <v>7</v>
      </c>
      <c r="D210" s="282">
        <v>3</v>
      </c>
      <c r="E210" s="282">
        <v>1</v>
      </c>
      <c r="F210" s="282">
        <v>2</v>
      </c>
      <c r="G210" s="282">
        <v>6</v>
      </c>
      <c r="H210" s="282">
        <v>4</v>
      </c>
      <c r="I210" s="214">
        <f t="shared" si="63"/>
        <v>23</v>
      </c>
      <c r="J210" s="219">
        <f t="shared" si="64"/>
        <v>-12</v>
      </c>
      <c r="L210" s="219">
        <f t="shared" si="65"/>
        <v>-2</v>
      </c>
      <c r="O210" s="198"/>
    </row>
    <row r="211" spans="1:22" ht="17.5" outlineLevel="2">
      <c r="A211" s="230" t="s">
        <v>113</v>
      </c>
      <c r="B211" s="282"/>
      <c r="C211" s="282">
        <v>5</v>
      </c>
      <c r="D211" s="282">
        <v>7</v>
      </c>
      <c r="E211" s="282">
        <v>1</v>
      </c>
      <c r="F211" s="282">
        <v>6</v>
      </c>
      <c r="G211" s="282">
        <v>7</v>
      </c>
      <c r="H211" s="282">
        <v>7</v>
      </c>
      <c r="I211" s="214">
        <f t="shared" si="63"/>
        <v>33</v>
      </c>
      <c r="J211" s="219">
        <f t="shared" si="64"/>
        <v>-12</v>
      </c>
      <c r="L211" s="337">
        <f t="shared" si="65"/>
        <v>4</v>
      </c>
      <c r="O211" s="198"/>
    </row>
    <row r="212" spans="1:22" ht="17.5" outlineLevel="2">
      <c r="A212" s="230" t="s">
        <v>114</v>
      </c>
      <c r="B212" s="282"/>
      <c r="C212" s="282">
        <v>2</v>
      </c>
      <c r="D212" s="282">
        <v>4</v>
      </c>
      <c r="E212" s="282">
        <v>7</v>
      </c>
      <c r="F212" s="282">
        <v>9</v>
      </c>
      <c r="G212" s="282">
        <v>5</v>
      </c>
      <c r="H212" s="282">
        <v>8</v>
      </c>
      <c r="I212" s="214">
        <f t="shared" si="63"/>
        <v>35</v>
      </c>
      <c r="J212" s="219">
        <f t="shared" si="64"/>
        <v>-29</v>
      </c>
      <c r="L212" s="219">
        <f t="shared" si="65"/>
        <v>-3</v>
      </c>
      <c r="O212" s="198"/>
    </row>
    <row r="213" spans="1:22" ht="17.5" outlineLevel="2">
      <c r="A213" s="230" t="s">
        <v>115</v>
      </c>
      <c r="B213" s="282">
        <v>1</v>
      </c>
      <c r="C213" s="282"/>
      <c r="D213" s="282">
        <v>3</v>
      </c>
      <c r="E213" s="282">
        <v>4</v>
      </c>
      <c r="F213" s="282">
        <v>4</v>
      </c>
      <c r="G213" s="282">
        <v>2</v>
      </c>
      <c r="H213" s="282">
        <v>12</v>
      </c>
      <c r="I213" s="214">
        <f t="shared" si="63"/>
        <v>26</v>
      </c>
      <c r="J213" s="219">
        <f t="shared" si="64"/>
        <v>-10</v>
      </c>
      <c r="L213" s="219">
        <f t="shared" si="65"/>
        <v>-14</v>
      </c>
      <c r="O213" s="198"/>
    </row>
    <row r="214" spans="1:22" ht="17.5" outlineLevel="2">
      <c r="A214" s="227" t="s">
        <v>116</v>
      </c>
      <c r="B214" s="283">
        <f>SUM(B208:B213)</f>
        <v>22</v>
      </c>
      <c r="C214" s="283">
        <f t="shared" ref="C214:I214" si="66">SUM(C208:C213)</f>
        <v>26</v>
      </c>
      <c r="D214" s="283">
        <f t="shared" si="66"/>
        <v>31</v>
      </c>
      <c r="E214" s="283">
        <f t="shared" si="66"/>
        <v>27</v>
      </c>
      <c r="F214" s="283">
        <f t="shared" si="66"/>
        <v>47</v>
      </c>
      <c r="G214" s="283">
        <f t="shared" si="66"/>
        <v>61</v>
      </c>
      <c r="H214" s="283">
        <f t="shared" si="66"/>
        <v>51</v>
      </c>
      <c r="I214" s="216">
        <f t="shared" si="66"/>
        <v>265</v>
      </c>
      <c r="J214" s="219">
        <f t="shared" si="64"/>
        <v>-100</v>
      </c>
      <c r="L214" s="219">
        <f t="shared" si="65"/>
        <v>-21</v>
      </c>
      <c r="O214" s="198"/>
    </row>
    <row r="215" spans="1:22">
      <c r="O215" s="198"/>
    </row>
    <row r="216" spans="1:22">
      <c r="O216" s="198"/>
    </row>
    <row r="217" spans="1:22" ht="22.5">
      <c r="A217" s="197" t="s">
        <v>139</v>
      </c>
      <c r="J217" s="221"/>
      <c r="K217" s="221"/>
      <c r="L217" s="221"/>
      <c r="M217" s="197" t="s">
        <v>140</v>
      </c>
      <c r="O217" s="198"/>
      <c r="P217" s="198"/>
      <c r="Q217" s="198"/>
      <c r="R217" s="198"/>
      <c r="S217" s="198"/>
      <c r="T217" s="198"/>
      <c r="U217" s="198"/>
      <c r="V217" s="223"/>
    </row>
    <row r="218" spans="1:22" ht="20" customHeight="1">
      <c r="A218" s="200" t="s">
        <v>106</v>
      </c>
      <c r="B218" s="279">
        <v>45852</v>
      </c>
      <c r="C218" s="279">
        <v>45853</v>
      </c>
      <c r="D218" s="279">
        <v>45854</v>
      </c>
      <c r="E218" s="279">
        <v>45855</v>
      </c>
      <c r="F218" s="279">
        <v>45856</v>
      </c>
      <c r="G218" s="279">
        <v>45857</v>
      </c>
      <c r="H218" s="279">
        <v>45858</v>
      </c>
      <c r="I218" s="202" t="s">
        <v>107</v>
      </c>
      <c r="J218" s="467" t="s">
        <v>178</v>
      </c>
      <c r="K218" s="466" t="s">
        <v>179</v>
      </c>
      <c r="L218" s="221"/>
      <c r="M218" s="200" t="s">
        <v>106</v>
      </c>
      <c r="N218" s="201">
        <v>45852</v>
      </c>
      <c r="O218" s="201">
        <v>45853</v>
      </c>
      <c r="P218" s="201">
        <v>45854</v>
      </c>
      <c r="Q218" s="201">
        <v>45855</v>
      </c>
      <c r="R218" s="201">
        <v>45856</v>
      </c>
      <c r="S218" s="201">
        <v>45857</v>
      </c>
      <c r="T218" s="201">
        <v>45858</v>
      </c>
      <c r="U218" s="202" t="s">
        <v>107</v>
      </c>
      <c r="V218" s="223"/>
    </row>
    <row r="219" spans="1:22" ht="20" customHeight="1">
      <c r="A219" s="204" t="s">
        <v>108</v>
      </c>
      <c r="B219" s="280" t="s">
        <v>133</v>
      </c>
      <c r="C219" s="280" t="s">
        <v>133</v>
      </c>
      <c r="D219" s="280" t="s">
        <v>133</v>
      </c>
      <c r="E219" s="280" t="s">
        <v>133</v>
      </c>
      <c r="F219" s="280" t="s">
        <v>133</v>
      </c>
      <c r="G219" s="280" t="s">
        <v>133</v>
      </c>
      <c r="H219" s="280" t="s">
        <v>133</v>
      </c>
      <c r="I219" s="206" t="s">
        <v>121</v>
      </c>
      <c r="J219" s="467"/>
      <c r="K219" s="466"/>
      <c r="L219" s="221"/>
      <c r="M219" s="204" t="s">
        <v>108</v>
      </c>
      <c r="N219" s="205" t="s">
        <v>129</v>
      </c>
      <c r="O219" s="205" t="s">
        <v>129</v>
      </c>
      <c r="P219" s="205" t="s">
        <v>129</v>
      </c>
      <c r="Q219" s="205" t="s">
        <v>129</v>
      </c>
      <c r="R219" s="205" t="s">
        <v>129</v>
      </c>
      <c r="S219" s="205" t="s">
        <v>129</v>
      </c>
      <c r="T219" s="205" t="s">
        <v>129</v>
      </c>
      <c r="U219" s="206" t="s">
        <v>121</v>
      </c>
      <c r="V219" s="223"/>
    </row>
    <row r="220" spans="1:22" ht="15.5">
      <c r="A220" s="208" t="s">
        <v>110</v>
      </c>
      <c r="B220" s="421">
        <v>140420.02999999997</v>
      </c>
      <c r="C220" s="421">
        <v>125826.45999999999</v>
      </c>
      <c r="D220" s="421">
        <v>39569.410000000003</v>
      </c>
      <c r="E220" s="421">
        <v>46601.999999999898</v>
      </c>
      <c r="F220" s="421">
        <v>214471.43</v>
      </c>
      <c r="G220" s="421">
        <v>139194.82999999999</v>
      </c>
      <c r="H220" s="421">
        <v>84120.53</v>
      </c>
      <c r="I220" s="300">
        <f>SUM(B220:H220)</f>
        <v>790204.68999999983</v>
      </c>
      <c r="J220" s="331">
        <f>SUMIFS(B220:H220,$B$227:$H$227,"A")-SUMIFS(B182:H182,$B$227:$H$227,"A")</f>
        <v>-59795.310000000172</v>
      </c>
      <c r="K220" s="331">
        <f>K140+J220</f>
        <v>-414670.58000000025</v>
      </c>
      <c r="L220" s="221"/>
      <c r="M220" s="208" t="s">
        <v>110</v>
      </c>
      <c r="N220" s="297"/>
      <c r="O220" s="297"/>
      <c r="P220" s="297"/>
      <c r="Q220" s="297"/>
      <c r="R220" s="297"/>
      <c r="S220" s="297"/>
      <c r="T220" s="297"/>
      <c r="U220" s="300">
        <f>SUM(N220:T220)</f>
        <v>0</v>
      </c>
      <c r="V220" s="223"/>
    </row>
    <row r="221" spans="1:22" ht="15.5">
      <c r="A221" s="212" t="s">
        <v>111</v>
      </c>
      <c r="B221" s="422">
        <v>15941.259999999998</v>
      </c>
      <c r="C221" s="422">
        <v>6490.32</v>
      </c>
      <c r="D221" s="422">
        <v>29752.27</v>
      </c>
      <c r="E221" s="422">
        <v>38188.29</v>
      </c>
      <c r="F221" s="422">
        <v>22858.5</v>
      </c>
      <c r="G221" s="422">
        <v>145103.21000000002</v>
      </c>
      <c r="H221" s="422">
        <v>28986.639999999999</v>
      </c>
      <c r="I221" s="301">
        <f t="shared" ref="I221:I225" si="67">SUM(B221:H221)</f>
        <v>287320.49000000005</v>
      </c>
      <c r="J221" s="331">
        <f t="shared" ref="J221:J226" si="68">SUMIFS(B221:H221,$B$227:$H$227,"A")-SUMIFS(B183:H183,$B$227:$H$227,"A")</f>
        <v>-57679.509999999951</v>
      </c>
      <c r="K221" s="333">
        <f t="shared" ref="K221:K226" si="69">K141+J221</f>
        <v>267059.34000000008</v>
      </c>
      <c r="L221" s="221"/>
      <c r="M221" s="212" t="s">
        <v>111</v>
      </c>
      <c r="N221" s="299"/>
      <c r="O221" s="299"/>
      <c r="P221" s="299"/>
      <c r="Q221" s="299"/>
      <c r="R221" s="299"/>
      <c r="S221" s="299"/>
      <c r="T221" s="299"/>
      <c r="U221" s="301">
        <f t="shared" ref="U221:U225" si="70">SUM(N221:T221)</f>
        <v>0</v>
      </c>
      <c r="V221" s="223"/>
    </row>
    <row r="222" spans="1:22" ht="15.5">
      <c r="A222" s="212" t="s">
        <v>112</v>
      </c>
      <c r="B222" s="422">
        <v>0</v>
      </c>
      <c r="C222" s="422">
        <v>31610.02</v>
      </c>
      <c r="D222" s="422">
        <v>5166.1499999999996</v>
      </c>
      <c r="E222" s="422">
        <v>8293.33</v>
      </c>
      <c r="F222" s="422">
        <v>616.26</v>
      </c>
      <c r="G222" s="422">
        <v>30754.91</v>
      </c>
      <c r="H222" s="422">
        <v>23647.17</v>
      </c>
      <c r="I222" s="301">
        <f t="shared" si="67"/>
        <v>100087.84</v>
      </c>
      <c r="J222" s="331">
        <f t="shared" si="68"/>
        <v>-40912.160000000003</v>
      </c>
      <c r="K222" s="331">
        <f t="shared" si="69"/>
        <v>-139844.76</v>
      </c>
      <c r="L222" s="221"/>
      <c r="M222" s="212" t="s">
        <v>112</v>
      </c>
      <c r="N222" s="299"/>
      <c r="O222" s="299"/>
      <c r="P222" s="299"/>
      <c r="Q222" s="299"/>
      <c r="R222" s="299"/>
      <c r="S222" s="299"/>
      <c r="T222" s="299"/>
      <c r="U222" s="301">
        <f t="shared" si="70"/>
        <v>0</v>
      </c>
      <c r="V222" s="223"/>
    </row>
    <row r="223" spans="1:22" ht="15.5">
      <c r="A223" s="212" t="s">
        <v>113</v>
      </c>
      <c r="B223" s="422">
        <v>0</v>
      </c>
      <c r="C223" s="422">
        <v>37920.71</v>
      </c>
      <c r="D223" s="422">
        <v>23848.059999999899</v>
      </c>
      <c r="E223" s="422">
        <v>7671</v>
      </c>
      <c r="F223" s="422">
        <v>21992.12</v>
      </c>
      <c r="G223" s="422">
        <v>84875.43</v>
      </c>
      <c r="H223" s="422">
        <v>50382.53</v>
      </c>
      <c r="I223" s="301">
        <f t="shared" si="67"/>
        <v>226689.84999999989</v>
      </c>
      <c r="J223" s="333">
        <f t="shared" si="68"/>
        <v>21689.849999999889</v>
      </c>
      <c r="K223" s="333">
        <f t="shared" si="69"/>
        <v>21910.799999999886</v>
      </c>
      <c r="L223" s="221"/>
      <c r="M223" s="212" t="s">
        <v>113</v>
      </c>
      <c r="N223" s="299"/>
      <c r="O223" s="299"/>
      <c r="P223" s="299"/>
      <c r="Q223" s="299"/>
      <c r="R223" s="299"/>
      <c r="S223" s="299"/>
      <c r="T223" s="299"/>
      <c r="U223" s="301">
        <f t="shared" si="70"/>
        <v>0</v>
      </c>
      <c r="V223" s="223"/>
    </row>
    <row r="224" spans="1:22" ht="15.5">
      <c r="A224" s="212" t="s">
        <v>114</v>
      </c>
      <c r="B224" s="422">
        <v>0</v>
      </c>
      <c r="C224" s="422">
        <v>20766</v>
      </c>
      <c r="D224" s="422">
        <v>2898.0499999999902</v>
      </c>
      <c r="E224" s="422">
        <v>16898.799999999901</v>
      </c>
      <c r="F224" s="422">
        <v>79510.380000000019</v>
      </c>
      <c r="G224" s="422">
        <v>9545.6699999999983</v>
      </c>
      <c r="H224" s="422">
        <v>68379.7</v>
      </c>
      <c r="I224" s="301">
        <f t="shared" si="67"/>
        <v>197998.59999999992</v>
      </c>
      <c r="J224" s="331">
        <f t="shared" si="68"/>
        <v>-77001.400000000081</v>
      </c>
      <c r="K224" s="331">
        <f>K144+J224</f>
        <v>-383184.58000000007</v>
      </c>
      <c r="L224" s="221"/>
      <c r="M224" s="212" t="s">
        <v>114</v>
      </c>
      <c r="N224" s="299"/>
      <c r="O224" s="299"/>
      <c r="P224" s="299"/>
      <c r="Q224" s="299"/>
      <c r="R224" s="299"/>
      <c r="S224" s="299"/>
      <c r="T224" s="299"/>
      <c r="U224" s="301">
        <f t="shared" si="70"/>
        <v>0</v>
      </c>
      <c r="V224" s="223"/>
    </row>
    <row r="225" spans="1:22" ht="15.5">
      <c r="A225" s="212" t="s">
        <v>115</v>
      </c>
      <c r="B225" s="422">
        <v>999</v>
      </c>
      <c r="C225" s="422">
        <v>0</v>
      </c>
      <c r="D225" s="422">
        <v>4232.38</v>
      </c>
      <c r="E225" s="422">
        <v>6890.4</v>
      </c>
      <c r="F225" s="422">
        <v>2080.2600000000002</v>
      </c>
      <c r="G225" s="422">
        <v>2923.07</v>
      </c>
      <c r="H225" s="422">
        <v>34465.53</v>
      </c>
      <c r="I225" s="301">
        <f t="shared" si="67"/>
        <v>51590.64</v>
      </c>
      <c r="J225" s="331">
        <f t="shared" si="68"/>
        <v>-33409.360000000001</v>
      </c>
      <c r="K225" s="331">
        <f t="shared" si="69"/>
        <v>-77016.53</v>
      </c>
      <c r="L225" s="221"/>
      <c r="M225" s="212" t="s">
        <v>115</v>
      </c>
      <c r="N225" s="299"/>
      <c r="O225" s="299"/>
      <c r="P225" s="299"/>
      <c r="Q225" s="299"/>
      <c r="R225" s="299"/>
      <c r="S225" s="299"/>
      <c r="T225" s="299"/>
      <c r="U225" s="301">
        <f t="shared" si="70"/>
        <v>0</v>
      </c>
      <c r="V225" s="223"/>
    </row>
    <row r="226" spans="1:22" ht="15.5">
      <c r="A226" s="204" t="s">
        <v>116</v>
      </c>
      <c r="B226" s="423">
        <f>SUM(B220:B225)</f>
        <v>157360.28999999998</v>
      </c>
      <c r="C226" s="423">
        <f t="shared" ref="C226:I226" si="71">SUM(C220:C225)</f>
        <v>222613.50999999998</v>
      </c>
      <c r="D226" s="423">
        <f t="shared" si="71"/>
        <v>105466.31999999989</v>
      </c>
      <c r="E226" s="423">
        <f t="shared" si="71"/>
        <v>124543.81999999979</v>
      </c>
      <c r="F226" s="423">
        <f t="shared" si="71"/>
        <v>341528.95</v>
      </c>
      <c r="G226" s="423">
        <f t="shared" si="71"/>
        <v>412397.12</v>
      </c>
      <c r="H226" s="423">
        <f t="shared" si="71"/>
        <v>289982.09999999998</v>
      </c>
      <c r="I226" s="295">
        <f t="shared" si="71"/>
        <v>1653892.1099999996</v>
      </c>
      <c r="J226" s="331">
        <f t="shared" si="68"/>
        <v>-247107.89000000013</v>
      </c>
      <c r="K226" s="331">
        <f t="shared" si="69"/>
        <v>-725746.31</v>
      </c>
      <c r="L226" s="221"/>
      <c r="M226" s="204" t="s">
        <v>116</v>
      </c>
      <c r="N226" s="295">
        <f>SUM(N220:N225)</f>
        <v>0</v>
      </c>
      <c r="O226" s="295">
        <f t="shared" ref="O226:U226" si="72">SUM(O220:O225)</f>
        <v>0</v>
      </c>
      <c r="P226" s="295">
        <f t="shared" si="72"/>
        <v>0</v>
      </c>
      <c r="Q226" s="295">
        <f t="shared" si="72"/>
        <v>0</v>
      </c>
      <c r="R226" s="295">
        <f t="shared" si="72"/>
        <v>0</v>
      </c>
      <c r="S226" s="295">
        <f t="shared" si="72"/>
        <v>0</v>
      </c>
      <c r="T226" s="295">
        <f t="shared" si="72"/>
        <v>0</v>
      </c>
      <c r="U226" s="295">
        <f t="shared" si="72"/>
        <v>0</v>
      </c>
      <c r="V226" s="223"/>
    </row>
    <row r="227" spans="1:22">
      <c r="A227" s="240"/>
      <c r="B227" s="335" t="s">
        <v>171</v>
      </c>
      <c r="C227" s="335" t="s">
        <v>171</v>
      </c>
      <c r="D227" s="335" t="s">
        <v>171</v>
      </c>
      <c r="E227" s="335" t="s">
        <v>171</v>
      </c>
      <c r="F227" s="335" t="s">
        <v>171</v>
      </c>
      <c r="G227" s="335" t="s">
        <v>171</v>
      </c>
      <c r="H227" s="335" t="s">
        <v>171</v>
      </c>
      <c r="I227" s="319"/>
      <c r="J227" s="221"/>
      <c r="K227" s="221"/>
      <c r="L227" s="221"/>
      <c r="M227" s="240"/>
      <c r="N227" s="319"/>
      <c r="O227" s="319"/>
      <c r="P227" s="319"/>
      <c r="Q227" s="319"/>
      <c r="R227" s="319"/>
      <c r="S227" s="319"/>
      <c r="T227" s="319"/>
      <c r="U227" s="319"/>
      <c r="V227" s="223"/>
    </row>
    <row r="228" spans="1:22">
      <c r="A228" s="240"/>
      <c r="B228" s="319"/>
      <c r="C228" s="319"/>
      <c r="D228" s="319"/>
      <c r="E228" s="319"/>
      <c r="F228" s="319"/>
      <c r="G228" s="319"/>
      <c r="H228" s="319"/>
      <c r="I228" s="319"/>
      <c r="J228" s="221"/>
      <c r="K228" s="221"/>
      <c r="L228" s="221"/>
      <c r="M228" s="240"/>
      <c r="N228" s="319"/>
      <c r="O228" s="319"/>
      <c r="P228" s="319"/>
      <c r="Q228" s="319"/>
      <c r="R228" s="319"/>
      <c r="S228" s="319"/>
      <c r="T228" s="319"/>
      <c r="U228" s="319"/>
      <c r="V228" s="223"/>
    </row>
    <row r="229" spans="1:22">
      <c r="A229" s="240"/>
      <c r="B229" s="319"/>
      <c r="C229" s="319"/>
      <c r="D229" s="319"/>
      <c r="E229" s="319"/>
      <c r="F229" s="319"/>
      <c r="G229" s="319"/>
      <c r="H229" s="319"/>
      <c r="I229" s="319"/>
      <c r="J229" s="221"/>
      <c r="K229" s="221"/>
      <c r="L229" s="221"/>
      <c r="M229" s="240"/>
      <c r="N229" s="319"/>
      <c r="O229" s="319"/>
      <c r="P229" s="319"/>
      <c r="Q229" s="319"/>
      <c r="R229" s="319"/>
      <c r="S229" s="319"/>
      <c r="T229" s="319"/>
      <c r="U229" s="319"/>
      <c r="V229" s="223"/>
    </row>
    <row r="230" spans="1:22">
      <c r="A230" s="240"/>
      <c r="B230" s="319"/>
      <c r="C230" s="319"/>
      <c r="D230" s="319"/>
      <c r="E230" s="319"/>
      <c r="F230" s="319"/>
      <c r="G230" s="319"/>
      <c r="H230" s="319"/>
      <c r="I230" s="319"/>
      <c r="J230" s="221"/>
      <c r="K230" s="221"/>
      <c r="L230" s="221"/>
      <c r="M230" s="240"/>
      <c r="N230" s="319"/>
      <c r="O230" s="319"/>
      <c r="P230" s="319"/>
      <c r="Q230" s="319"/>
      <c r="R230" s="319"/>
      <c r="S230" s="319"/>
      <c r="T230" s="319"/>
      <c r="U230" s="319"/>
      <c r="V230" s="223"/>
    </row>
    <row r="231" spans="1:22" s="250" customFormat="1" ht="22.5">
      <c r="A231" s="247" t="s">
        <v>158</v>
      </c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7" t="s">
        <v>159</v>
      </c>
      <c r="N231" s="248"/>
      <c r="O231" s="248"/>
      <c r="P231" s="248"/>
      <c r="Q231" s="248"/>
      <c r="R231" s="248"/>
      <c r="S231" s="248"/>
      <c r="T231" s="248"/>
      <c r="U231" s="248"/>
    </row>
    <row r="232" spans="1:22" s="250" customFormat="1" ht="13.5" customHeight="1">
      <c r="A232" s="251" t="s">
        <v>106</v>
      </c>
      <c r="B232" s="310">
        <v>45494</v>
      </c>
      <c r="C232" s="310">
        <v>45495</v>
      </c>
      <c r="D232" s="310">
        <v>45496</v>
      </c>
      <c r="E232" s="310">
        <v>45497</v>
      </c>
      <c r="F232" s="310">
        <v>45498</v>
      </c>
      <c r="G232" s="310">
        <v>45499</v>
      </c>
      <c r="H232" s="310">
        <v>45500</v>
      </c>
      <c r="I232" s="253" t="s">
        <v>107</v>
      </c>
      <c r="J232" s="248"/>
      <c r="K232" s="248"/>
      <c r="L232" s="248"/>
      <c r="M232" s="251" t="s">
        <v>106</v>
      </c>
      <c r="N232" s="310">
        <v>45494</v>
      </c>
      <c r="O232" s="310">
        <v>45495</v>
      </c>
      <c r="P232" s="310">
        <v>45496</v>
      </c>
      <c r="Q232" s="310">
        <v>45497</v>
      </c>
      <c r="R232" s="310">
        <v>45498</v>
      </c>
      <c r="S232" s="310">
        <v>45499</v>
      </c>
      <c r="T232" s="310">
        <v>45500</v>
      </c>
      <c r="U232" s="253" t="s">
        <v>107</v>
      </c>
    </row>
    <row r="233" spans="1:22" s="250" customFormat="1">
      <c r="A233" s="257" t="s">
        <v>108</v>
      </c>
      <c r="B233" s="258" t="s">
        <v>128</v>
      </c>
      <c r="C233" s="258" t="s">
        <v>128</v>
      </c>
      <c r="D233" s="258" t="s">
        <v>128</v>
      </c>
      <c r="E233" s="258" t="s">
        <v>128</v>
      </c>
      <c r="F233" s="258" t="s">
        <v>128</v>
      </c>
      <c r="G233" s="258" t="s">
        <v>128</v>
      </c>
      <c r="H233" s="258" t="s">
        <v>128</v>
      </c>
      <c r="I233" s="259" t="s">
        <v>124</v>
      </c>
      <c r="J233" s="248"/>
      <c r="K233" s="248"/>
      <c r="L233" s="248"/>
      <c r="M233" s="257" t="s">
        <v>108</v>
      </c>
      <c r="N233" s="258" t="s">
        <v>129</v>
      </c>
      <c r="O233" s="258" t="s">
        <v>129</v>
      </c>
      <c r="P233" s="258" t="s">
        <v>129</v>
      </c>
      <c r="Q233" s="258" t="s">
        <v>129</v>
      </c>
      <c r="R233" s="258" t="s">
        <v>129</v>
      </c>
      <c r="S233" s="258" t="s">
        <v>129</v>
      </c>
      <c r="T233" s="258" t="s">
        <v>129</v>
      </c>
      <c r="U233" s="259" t="s">
        <v>124</v>
      </c>
    </row>
    <row r="234" spans="1:22" s="250" customFormat="1">
      <c r="A234" s="263" t="s">
        <v>110</v>
      </c>
      <c r="B234" s="264">
        <v>131540.40000000002</v>
      </c>
      <c r="C234" s="264">
        <v>46799.49</v>
      </c>
      <c r="D234" s="264">
        <v>15980.21</v>
      </c>
      <c r="E234" s="264">
        <v>99421.090000000011</v>
      </c>
      <c r="F234" s="264">
        <v>76784.960000000006</v>
      </c>
      <c r="G234" s="264">
        <v>169355.04999999996</v>
      </c>
      <c r="H234" s="291">
        <v>59635.38</v>
      </c>
      <c r="I234" s="265">
        <f>SUM(B234:H234)</f>
        <v>599516.57999999996</v>
      </c>
      <c r="J234" s="248"/>
      <c r="K234" s="248"/>
      <c r="L234" s="248"/>
      <c r="M234" s="263" t="s">
        <v>110</v>
      </c>
      <c r="N234" s="264">
        <v>159997</v>
      </c>
      <c r="O234" s="264">
        <v>20947</v>
      </c>
      <c r="P234" s="264">
        <v>12098.65</v>
      </c>
      <c r="Q234" s="264">
        <v>245048.88</v>
      </c>
      <c r="R234" s="264">
        <v>35850.400000000001</v>
      </c>
      <c r="S234" s="264">
        <v>153057.20000000001</v>
      </c>
      <c r="T234" s="291">
        <v>72541.899999999994</v>
      </c>
      <c r="U234" s="265">
        <f>SUM(N234:T234)</f>
        <v>699541.03000000014</v>
      </c>
    </row>
    <row r="235" spans="1:22" s="250" customFormat="1">
      <c r="A235" s="269" t="s">
        <v>111</v>
      </c>
      <c r="B235" s="270">
        <v>75922.570000000022</v>
      </c>
      <c r="C235" s="270">
        <v>16761.099999999999</v>
      </c>
      <c r="D235" s="270">
        <v>9490.19</v>
      </c>
      <c r="E235" s="270">
        <v>36101.270000000004</v>
      </c>
      <c r="F235" s="270">
        <v>89531.59</v>
      </c>
      <c r="G235" s="270">
        <v>8707.8799999999992</v>
      </c>
      <c r="H235" s="292">
        <v>208585.60999999993</v>
      </c>
      <c r="I235" s="265">
        <f t="shared" ref="I235:I240" si="73">SUM(B235:H235)</f>
        <v>445100.20999999996</v>
      </c>
      <c r="J235" s="248"/>
      <c r="K235" s="248"/>
      <c r="L235" s="248"/>
      <c r="M235" s="269" t="s">
        <v>111</v>
      </c>
      <c r="N235" s="270">
        <v>47915.8</v>
      </c>
      <c r="O235" s="270">
        <v>22013.25</v>
      </c>
      <c r="P235" s="270">
        <v>319.2</v>
      </c>
      <c r="Q235" s="270">
        <v>36076.400000000001</v>
      </c>
      <c r="R235" s="270">
        <v>40506</v>
      </c>
      <c r="S235" s="270">
        <v>15448.2</v>
      </c>
      <c r="T235" s="292">
        <v>210312.75</v>
      </c>
      <c r="U235" s="265">
        <f t="shared" ref="U235:U240" si="74">SUM(N235:T235)</f>
        <v>372591.6</v>
      </c>
    </row>
    <row r="236" spans="1:22" s="250" customFormat="1">
      <c r="A236" s="269" t="s">
        <v>112</v>
      </c>
      <c r="B236" s="270">
        <v>14700.87</v>
      </c>
      <c r="C236" s="270">
        <v>0</v>
      </c>
      <c r="D236" s="270">
        <v>8356.6</v>
      </c>
      <c r="E236" s="270">
        <v>21168.01</v>
      </c>
      <c r="F236" s="270">
        <v>0</v>
      </c>
      <c r="G236" s="270">
        <v>8487.61</v>
      </c>
      <c r="H236" s="292">
        <v>29549.4</v>
      </c>
      <c r="I236" s="265">
        <f t="shared" si="73"/>
        <v>82262.489999999991</v>
      </c>
      <c r="J236" s="248"/>
      <c r="K236" s="248"/>
      <c r="L236" s="248"/>
      <c r="M236" s="269" t="s">
        <v>112</v>
      </c>
      <c r="N236" s="270">
        <v>12389.199999999999</v>
      </c>
      <c r="O236" s="270">
        <v>0</v>
      </c>
      <c r="P236" s="270">
        <v>902.2</v>
      </c>
      <c r="Q236" s="270">
        <v>23975.4</v>
      </c>
      <c r="R236" s="270">
        <v>0</v>
      </c>
      <c r="S236" s="270">
        <v>2252.25</v>
      </c>
      <c r="T236" s="292">
        <v>32432.079999999998</v>
      </c>
      <c r="U236" s="265">
        <f t="shared" si="74"/>
        <v>71951.13</v>
      </c>
    </row>
    <row r="237" spans="1:22" s="250" customFormat="1">
      <c r="A237" s="269" t="s">
        <v>113</v>
      </c>
      <c r="B237" s="270">
        <v>5190.5499999999993</v>
      </c>
      <c r="C237" s="270">
        <v>3590.4900000000002</v>
      </c>
      <c r="D237" s="270">
        <v>0</v>
      </c>
      <c r="E237" s="270">
        <v>0</v>
      </c>
      <c r="F237" s="270">
        <v>18924.04</v>
      </c>
      <c r="G237" s="270">
        <v>22138.2</v>
      </c>
      <c r="H237" s="292">
        <v>33988.129999999997</v>
      </c>
      <c r="I237" s="265">
        <f t="shared" si="73"/>
        <v>83831.41</v>
      </c>
      <c r="J237" s="248"/>
      <c r="K237" s="248"/>
      <c r="L237" s="248"/>
      <c r="M237" s="269" t="s">
        <v>113</v>
      </c>
      <c r="N237" s="270">
        <v>1450</v>
      </c>
      <c r="O237" s="270">
        <v>989</v>
      </c>
      <c r="P237" s="270">
        <v>0</v>
      </c>
      <c r="Q237" s="270">
        <v>0</v>
      </c>
      <c r="R237" s="270">
        <v>12679.6</v>
      </c>
      <c r="S237" s="270">
        <v>22138.2</v>
      </c>
      <c r="T237" s="292">
        <v>25159</v>
      </c>
      <c r="U237" s="265">
        <f t="shared" si="74"/>
        <v>62415.8</v>
      </c>
    </row>
    <row r="238" spans="1:22" s="250" customFormat="1">
      <c r="A238" s="269" t="s">
        <v>114</v>
      </c>
      <c r="B238" s="270">
        <v>64737.899999999994</v>
      </c>
      <c r="C238" s="270">
        <v>0</v>
      </c>
      <c r="D238" s="270">
        <v>3407.6700000000005</v>
      </c>
      <c r="E238" s="270">
        <v>29620.63</v>
      </c>
      <c r="F238" s="270">
        <v>29394.98</v>
      </c>
      <c r="G238" s="270">
        <v>49285.9</v>
      </c>
      <c r="H238" s="292">
        <v>98120.530000000013</v>
      </c>
      <c r="I238" s="265">
        <f t="shared" si="73"/>
        <v>274567.61</v>
      </c>
      <c r="J238" s="248"/>
      <c r="K238" s="248"/>
      <c r="L238" s="248"/>
      <c r="M238" s="269" t="s">
        <v>114</v>
      </c>
      <c r="N238" s="270">
        <v>60573.2</v>
      </c>
      <c r="O238" s="270">
        <v>0</v>
      </c>
      <c r="P238" s="270">
        <v>1370</v>
      </c>
      <c r="Q238" s="270">
        <v>11599</v>
      </c>
      <c r="R238" s="270">
        <v>35264</v>
      </c>
      <c r="S238" s="270">
        <v>48962</v>
      </c>
      <c r="T238" s="292">
        <v>107689</v>
      </c>
      <c r="U238" s="265">
        <f t="shared" si="74"/>
        <v>265457.2</v>
      </c>
    </row>
    <row r="239" spans="1:22" s="250" customFormat="1">
      <c r="A239" s="269" t="s">
        <v>115</v>
      </c>
      <c r="B239" s="270">
        <v>47033.119999999995</v>
      </c>
      <c r="C239" s="270">
        <v>6226.2800000000007</v>
      </c>
      <c r="D239" s="270">
        <v>0</v>
      </c>
      <c r="E239" s="270">
        <v>9228.5999999999985</v>
      </c>
      <c r="F239" s="270">
        <v>6837.09</v>
      </c>
      <c r="G239" s="270">
        <v>17079.96</v>
      </c>
      <c r="H239" s="292">
        <v>15643.2</v>
      </c>
      <c r="I239" s="265">
        <f t="shared" si="73"/>
        <v>102048.24999999999</v>
      </c>
      <c r="J239" s="248"/>
      <c r="K239" s="248"/>
      <c r="L239" s="248"/>
      <c r="M239" s="269" t="s">
        <v>115</v>
      </c>
      <c r="N239" s="270">
        <v>14834.2</v>
      </c>
      <c r="O239" s="270">
        <v>399.01</v>
      </c>
      <c r="P239" s="270">
        <v>0</v>
      </c>
      <c r="Q239" s="270">
        <v>6160</v>
      </c>
      <c r="R239" s="270">
        <v>4204.2</v>
      </c>
      <c r="S239" s="270">
        <v>11427.2</v>
      </c>
      <c r="T239" s="292">
        <v>8203</v>
      </c>
      <c r="U239" s="265">
        <f t="shared" si="74"/>
        <v>45227.61</v>
      </c>
    </row>
    <row r="240" spans="1:22" s="250" customFormat="1">
      <c r="A240" s="257" t="s">
        <v>116</v>
      </c>
      <c r="B240" s="272">
        <f>SUM(B234:B239)</f>
        <v>339125.41000000003</v>
      </c>
      <c r="C240" s="272">
        <f t="shared" ref="C240:H240" si="75">SUM(C234:C239)</f>
        <v>73377.36</v>
      </c>
      <c r="D240" s="272">
        <f t="shared" si="75"/>
        <v>37234.67</v>
      </c>
      <c r="E240" s="272">
        <f t="shared" si="75"/>
        <v>195539.60000000003</v>
      </c>
      <c r="F240" s="272">
        <f t="shared" si="75"/>
        <v>221472.66</v>
      </c>
      <c r="G240" s="272">
        <f t="shared" si="75"/>
        <v>275054.59999999998</v>
      </c>
      <c r="H240" s="293">
        <f t="shared" si="75"/>
        <v>445522.25</v>
      </c>
      <c r="I240" s="273">
        <f t="shared" si="73"/>
        <v>1587326.55</v>
      </c>
      <c r="J240" s="248"/>
      <c r="K240" s="248"/>
      <c r="L240" s="248"/>
      <c r="M240" s="257" t="s">
        <v>116</v>
      </c>
      <c r="N240" s="272">
        <f>SUM(N234:N239)</f>
        <v>297159.40000000002</v>
      </c>
      <c r="O240" s="272">
        <f t="shared" ref="O240:T240" si="76">SUM(O234:O239)</f>
        <v>44348.26</v>
      </c>
      <c r="P240" s="272">
        <f t="shared" si="76"/>
        <v>14690.050000000001</v>
      </c>
      <c r="Q240" s="272">
        <f t="shared" si="76"/>
        <v>322859.68000000005</v>
      </c>
      <c r="R240" s="272">
        <f t="shared" si="76"/>
        <v>128504.2</v>
      </c>
      <c r="S240" s="272">
        <f t="shared" si="76"/>
        <v>253285.05000000005</v>
      </c>
      <c r="T240" s="293">
        <f t="shared" si="76"/>
        <v>456337.73000000004</v>
      </c>
      <c r="U240" s="273">
        <f t="shared" si="74"/>
        <v>1517184.37</v>
      </c>
    </row>
    <row r="241" spans="1:15" s="250" customFormat="1"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</row>
    <row r="242" spans="1:15" s="250" customFormat="1"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</row>
    <row r="243" spans="1:15" s="250" customFormat="1"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</row>
    <row r="244" spans="1:15" s="250" customFormat="1"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</row>
    <row r="245" spans="1:15" s="250" customFormat="1" ht="22.5">
      <c r="A245" s="247" t="s">
        <v>160</v>
      </c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</row>
    <row r="246" spans="1:15" s="250" customFormat="1">
      <c r="A246" s="311" t="s">
        <v>106</v>
      </c>
      <c r="B246" s="310">
        <v>45494</v>
      </c>
      <c r="C246" s="310">
        <v>45495</v>
      </c>
      <c r="D246" s="310">
        <v>45496</v>
      </c>
      <c r="E246" s="310">
        <v>45497</v>
      </c>
      <c r="F246" s="310">
        <v>45498</v>
      </c>
      <c r="G246" s="310">
        <v>45499</v>
      </c>
      <c r="H246" s="310">
        <v>45500</v>
      </c>
      <c r="I246" s="253" t="s">
        <v>107</v>
      </c>
      <c r="J246" s="248"/>
      <c r="K246" s="248"/>
      <c r="L246" s="248"/>
      <c r="M246" s="248"/>
    </row>
    <row r="247" spans="1:15" s="250" customFormat="1">
      <c r="A247" s="312" t="s">
        <v>108</v>
      </c>
      <c r="B247" s="313" t="s">
        <v>109</v>
      </c>
      <c r="C247" s="313" t="s">
        <v>109</v>
      </c>
      <c r="D247" s="313" t="s">
        <v>109</v>
      </c>
      <c r="E247" s="313" t="s">
        <v>109</v>
      </c>
      <c r="F247" s="313" t="s">
        <v>109</v>
      </c>
      <c r="G247" s="313" t="s">
        <v>109</v>
      </c>
      <c r="H247" s="313" t="s">
        <v>109</v>
      </c>
      <c r="I247" s="259" t="s">
        <v>124</v>
      </c>
      <c r="J247" s="248"/>
      <c r="K247" s="248"/>
      <c r="L247" s="248"/>
      <c r="M247" s="248"/>
    </row>
    <row r="248" spans="1:15" s="250" customFormat="1">
      <c r="A248" s="263" t="s">
        <v>110</v>
      </c>
      <c r="B248" s="264">
        <v>10</v>
      </c>
      <c r="C248" s="264">
        <v>8</v>
      </c>
      <c r="D248" s="264">
        <v>6</v>
      </c>
      <c r="E248" s="264">
        <v>12</v>
      </c>
      <c r="F248" s="264">
        <v>20</v>
      </c>
      <c r="G248" s="264">
        <v>12</v>
      </c>
      <c r="H248" s="264">
        <v>15</v>
      </c>
      <c r="I248" s="265">
        <f t="shared" ref="I248:I253" si="77">SUM(B248:H248)</f>
        <v>83</v>
      </c>
      <c r="J248" s="248"/>
      <c r="K248" s="248"/>
      <c r="L248" s="248"/>
      <c r="M248" s="248"/>
    </row>
    <row r="249" spans="1:15" s="250" customFormat="1">
      <c r="A249" s="269" t="s">
        <v>111</v>
      </c>
      <c r="B249" s="270">
        <v>22</v>
      </c>
      <c r="C249" s="270">
        <v>9</v>
      </c>
      <c r="D249" s="270">
        <v>4</v>
      </c>
      <c r="E249" s="270">
        <v>8</v>
      </c>
      <c r="F249" s="270">
        <v>12</v>
      </c>
      <c r="G249" s="270">
        <v>4</v>
      </c>
      <c r="H249" s="270">
        <v>37</v>
      </c>
      <c r="I249" s="271">
        <f t="shared" si="77"/>
        <v>96</v>
      </c>
      <c r="J249" s="248"/>
      <c r="K249" s="248"/>
      <c r="L249" s="248"/>
      <c r="M249" s="248"/>
    </row>
    <row r="250" spans="1:15" s="250" customFormat="1">
      <c r="A250" s="269" t="s">
        <v>112</v>
      </c>
      <c r="B250" s="270">
        <v>4</v>
      </c>
      <c r="C250" s="270"/>
      <c r="D250" s="270">
        <v>3</v>
      </c>
      <c r="E250" s="270">
        <v>8</v>
      </c>
      <c r="F250" s="270"/>
      <c r="G250" s="270">
        <v>5</v>
      </c>
      <c r="H250" s="270">
        <v>7</v>
      </c>
      <c r="I250" s="271">
        <f t="shared" si="77"/>
        <v>27</v>
      </c>
      <c r="J250" s="248"/>
      <c r="K250" s="248"/>
      <c r="L250" s="248"/>
      <c r="M250" s="248"/>
    </row>
    <row r="251" spans="1:15" s="250" customFormat="1">
      <c r="A251" s="269" t="s">
        <v>113</v>
      </c>
      <c r="B251" s="270">
        <v>7</v>
      </c>
      <c r="C251" s="270">
        <v>3</v>
      </c>
      <c r="D251" s="270"/>
      <c r="E251" s="270"/>
      <c r="F251" s="270">
        <v>8</v>
      </c>
      <c r="G251" s="270">
        <v>2</v>
      </c>
      <c r="H251" s="270">
        <v>7</v>
      </c>
      <c r="I251" s="271">
        <f t="shared" si="77"/>
        <v>27</v>
      </c>
      <c r="J251" s="248"/>
      <c r="K251" s="248"/>
      <c r="L251" s="248"/>
      <c r="M251" s="248"/>
    </row>
    <row r="252" spans="1:15" s="250" customFormat="1">
      <c r="A252" s="269" t="s">
        <v>114</v>
      </c>
      <c r="B252" s="270">
        <v>7</v>
      </c>
      <c r="C252" s="270"/>
      <c r="D252" s="270">
        <v>3</v>
      </c>
      <c r="E252" s="270">
        <v>6</v>
      </c>
      <c r="F252" s="270">
        <v>4</v>
      </c>
      <c r="G252" s="270">
        <v>5</v>
      </c>
      <c r="H252" s="270">
        <v>17</v>
      </c>
      <c r="I252" s="271">
        <f t="shared" si="77"/>
        <v>42</v>
      </c>
      <c r="J252" s="248"/>
      <c r="K252" s="248"/>
      <c r="L252" s="248"/>
      <c r="M252" s="248"/>
    </row>
    <row r="253" spans="1:15" s="250" customFormat="1">
      <c r="A253" s="269" t="s">
        <v>115</v>
      </c>
      <c r="B253" s="270">
        <v>10</v>
      </c>
      <c r="C253" s="270">
        <v>4</v>
      </c>
      <c r="D253" s="270"/>
      <c r="E253" s="270">
        <v>6</v>
      </c>
      <c r="F253" s="270">
        <v>4</v>
      </c>
      <c r="G253" s="270">
        <v>6</v>
      </c>
      <c r="H253" s="270">
        <v>8</v>
      </c>
      <c r="I253" s="271">
        <f t="shared" si="77"/>
        <v>38</v>
      </c>
      <c r="J253" s="248"/>
      <c r="K253" s="248"/>
      <c r="L253" s="248"/>
      <c r="M253" s="248"/>
    </row>
    <row r="254" spans="1:15" s="250" customFormat="1">
      <c r="A254" s="257" t="s">
        <v>116</v>
      </c>
      <c r="B254" s="272">
        <f>SUM(B248:B253)</f>
        <v>60</v>
      </c>
      <c r="C254" s="272">
        <f t="shared" ref="C254:I254" si="78">SUM(C248:C253)</f>
        <v>24</v>
      </c>
      <c r="D254" s="272">
        <f t="shared" si="78"/>
        <v>16</v>
      </c>
      <c r="E254" s="272">
        <f t="shared" si="78"/>
        <v>40</v>
      </c>
      <c r="F254" s="272">
        <f t="shared" si="78"/>
        <v>48</v>
      </c>
      <c r="G254" s="272">
        <f t="shared" si="78"/>
        <v>34</v>
      </c>
      <c r="H254" s="272">
        <f t="shared" si="78"/>
        <v>91</v>
      </c>
      <c r="I254" s="273">
        <f t="shared" si="78"/>
        <v>313</v>
      </c>
      <c r="J254" s="248"/>
      <c r="K254" s="248"/>
      <c r="L254" s="248"/>
      <c r="M254" s="248"/>
    </row>
    <row r="257" spans="1:22" ht="22.5">
      <c r="A257" s="197" t="s">
        <v>154</v>
      </c>
      <c r="J257" s="221"/>
      <c r="K257" s="221"/>
      <c r="L257" s="221"/>
      <c r="M257" s="197" t="s">
        <v>155</v>
      </c>
      <c r="O257" s="198"/>
      <c r="P257" s="198"/>
      <c r="Q257" s="198"/>
      <c r="R257" s="198"/>
      <c r="S257" s="198"/>
      <c r="T257" s="198"/>
      <c r="U257" s="198"/>
      <c r="V257" s="223"/>
    </row>
    <row r="258" spans="1:22">
      <c r="A258" s="200" t="s">
        <v>106</v>
      </c>
      <c r="B258" s="318">
        <v>45859</v>
      </c>
      <c r="C258" s="318">
        <v>45860</v>
      </c>
      <c r="D258" s="318">
        <v>45861</v>
      </c>
      <c r="E258" s="318">
        <v>45862</v>
      </c>
      <c r="F258" s="318">
        <v>45863</v>
      </c>
      <c r="G258" s="318">
        <v>45864</v>
      </c>
      <c r="H258" s="318">
        <v>45865</v>
      </c>
      <c r="I258" s="202" t="s">
        <v>107</v>
      </c>
      <c r="J258" s="221"/>
      <c r="K258" s="221"/>
      <c r="L258" s="221"/>
      <c r="M258" s="200" t="s">
        <v>106</v>
      </c>
      <c r="N258" s="318">
        <v>45859</v>
      </c>
      <c r="O258" s="318">
        <v>45860</v>
      </c>
      <c r="P258" s="318">
        <v>45861</v>
      </c>
      <c r="Q258" s="318">
        <v>45862</v>
      </c>
      <c r="R258" s="318">
        <v>45863</v>
      </c>
      <c r="S258" s="318">
        <v>45864</v>
      </c>
      <c r="T258" s="318">
        <v>45865</v>
      </c>
      <c r="U258" s="202" t="s">
        <v>107</v>
      </c>
      <c r="V258" s="223"/>
    </row>
    <row r="259" spans="1:22">
      <c r="A259" s="204" t="s">
        <v>108</v>
      </c>
      <c r="B259" s="205" t="s">
        <v>133</v>
      </c>
      <c r="C259" s="205" t="s">
        <v>133</v>
      </c>
      <c r="D259" s="205" t="s">
        <v>133</v>
      </c>
      <c r="E259" s="205" t="s">
        <v>133</v>
      </c>
      <c r="F259" s="205" t="s">
        <v>133</v>
      </c>
      <c r="G259" s="205" t="s">
        <v>133</v>
      </c>
      <c r="H259" s="205" t="s">
        <v>133</v>
      </c>
      <c r="I259" s="206" t="s">
        <v>124</v>
      </c>
      <c r="J259" s="221"/>
      <c r="K259" s="221"/>
      <c r="L259" s="221"/>
      <c r="M259" s="204" t="s">
        <v>108</v>
      </c>
      <c r="N259" s="205" t="s">
        <v>129</v>
      </c>
      <c r="O259" s="205" t="s">
        <v>129</v>
      </c>
      <c r="P259" s="205" t="s">
        <v>129</v>
      </c>
      <c r="Q259" s="205" t="s">
        <v>129</v>
      </c>
      <c r="R259" s="205" t="s">
        <v>129</v>
      </c>
      <c r="S259" s="205" t="s">
        <v>129</v>
      </c>
      <c r="T259" s="205" t="s">
        <v>129</v>
      </c>
      <c r="U259" s="206" t="s">
        <v>124</v>
      </c>
      <c r="V259" s="223"/>
    </row>
    <row r="260" spans="1:22">
      <c r="A260" s="208" t="s">
        <v>110</v>
      </c>
      <c r="B260" s="299">
        <v>70000</v>
      </c>
      <c r="C260" s="299">
        <v>70000</v>
      </c>
      <c r="D260" s="299">
        <v>55000</v>
      </c>
      <c r="E260" s="299">
        <v>60000</v>
      </c>
      <c r="F260" s="299">
        <v>280000</v>
      </c>
      <c r="G260" s="299">
        <v>250000</v>
      </c>
      <c r="H260" s="299">
        <v>80000</v>
      </c>
      <c r="I260" s="301">
        <f>SUM(B260:H260)</f>
        <v>865000</v>
      </c>
      <c r="J260" s="221"/>
      <c r="K260" s="221"/>
      <c r="L260" s="221"/>
      <c r="M260" s="208" t="s">
        <v>110</v>
      </c>
      <c r="N260" s="327">
        <v>64637</v>
      </c>
      <c r="O260" s="327">
        <v>63451</v>
      </c>
      <c r="P260" s="327">
        <v>52770</v>
      </c>
      <c r="Q260" s="327">
        <v>52992</v>
      </c>
      <c r="R260" s="327">
        <v>262250</v>
      </c>
      <c r="S260" s="327">
        <v>234197.2</v>
      </c>
      <c r="T260" s="327">
        <v>63569.299999999996</v>
      </c>
      <c r="U260" s="300">
        <f>SUM(N260:T260)</f>
        <v>793866.5</v>
      </c>
      <c r="V260" s="223"/>
    </row>
    <row r="261" spans="1:22">
      <c r="A261" s="212" t="s">
        <v>111</v>
      </c>
      <c r="B261" s="299">
        <v>20000</v>
      </c>
      <c r="C261" s="299">
        <v>45000</v>
      </c>
      <c r="D261" s="299">
        <v>45000</v>
      </c>
      <c r="E261" s="299">
        <v>360000</v>
      </c>
      <c r="F261" s="299">
        <v>30000</v>
      </c>
      <c r="G261" s="299">
        <v>40000</v>
      </c>
      <c r="H261" s="299">
        <v>35000</v>
      </c>
      <c r="I261" s="301">
        <f t="shared" ref="I261:I265" si="79">SUM(B261:H261)</f>
        <v>575000</v>
      </c>
      <c r="J261" s="221"/>
      <c r="K261" s="221"/>
      <c r="L261" s="221"/>
      <c r="M261" s="212" t="s">
        <v>111</v>
      </c>
      <c r="N261" s="299">
        <v>27200</v>
      </c>
      <c r="O261" s="299">
        <v>27300</v>
      </c>
      <c r="P261" s="299">
        <v>28000</v>
      </c>
      <c r="Q261" s="299">
        <v>312500</v>
      </c>
      <c r="R261" s="299">
        <v>42300</v>
      </c>
      <c r="S261" s="299">
        <v>41000</v>
      </c>
      <c r="T261" s="299">
        <v>26100</v>
      </c>
      <c r="U261" s="301">
        <f t="shared" ref="U261:U265" si="80">SUM(N261:T261)</f>
        <v>504400</v>
      </c>
      <c r="V261" s="223"/>
    </row>
    <row r="262" spans="1:22">
      <c r="A262" s="212" t="s">
        <v>112</v>
      </c>
      <c r="B262" s="299">
        <v>0</v>
      </c>
      <c r="C262" s="299">
        <v>10000</v>
      </c>
      <c r="D262" s="299">
        <v>100000</v>
      </c>
      <c r="E262" s="299">
        <v>17000</v>
      </c>
      <c r="F262" s="299">
        <v>20000</v>
      </c>
      <c r="G262" s="299">
        <v>45000</v>
      </c>
      <c r="H262" s="299">
        <v>20000</v>
      </c>
      <c r="I262" s="301">
        <f t="shared" si="79"/>
        <v>212000</v>
      </c>
      <c r="J262" s="221"/>
      <c r="K262" s="221"/>
      <c r="L262" s="221"/>
      <c r="M262" s="212" t="s">
        <v>112</v>
      </c>
      <c r="N262" s="299">
        <v>0</v>
      </c>
      <c r="O262" s="299">
        <v>10700</v>
      </c>
      <c r="P262" s="299">
        <v>112200</v>
      </c>
      <c r="Q262" s="299">
        <v>15800</v>
      </c>
      <c r="R262" s="299">
        <v>25500</v>
      </c>
      <c r="S262" s="299">
        <v>46600</v>
      </c>
      <c r="T262" s="299">
        <v>1500</v>
      </c>
      <c r="U262" s="301">
        <f t="shared" si="80"/>
        <v>212300</v>
      </c>
      <c r="V262" s="223"/>
    </row>
    <row r="263" spans="1:22">
      <c r="A263" s="212" t="s">
        <v>113</v>
      </c>
      <c r="B263" s="299">
        <v>0</v>
      </c>
      <c r="C263" s="299">
        <v>15000</v>
      </c>
      <c r="D263" s="299">
        <v>19000</v>
      </c>
      <c r="E263" s="299">
        <v>0</v>
      </c>
      <c r="F263" s="299">
        <v>45000</v>
      </c>
      <c r="G263" s="299">
        <v>26000</v>
      </c>
      <c r="H263" s="299">
        <v>21000</v>
      </c>
      <c r="I263" s="301">
        <f t="shared" si="79"/>
        <v>126000</v>
      </c>
      <c r="J263" s="221"/>
      <c r="K263" s="221"/>
      <c r="L263" s="221"/>
      <c r="M263" s="212" t="s">
        <v>113</v>
      </c>
      <c r="N263" s="299">
        <v>0</v>
      </c>
      <c r="O263" s="299">
        <v>13650</v>
      </c>
      <c r="P263" s="299">
        <v>17650</v>
      </c>
      <c r="Q263" s="299">
        <v>0</v>
      </c>
      <c r="R263" s="299">
        <v>44000</v>
      </c>
      <c r="S263" s="299">
        <v>23200</v>
      </c>
      <c r="T263" s="299">
        <v>19200</v>
      </c>
      <c r="U263" s="301">
        <f t="shared" si="80"/>
        <v>117700</v>
      </c>
      <c r="V263" s="223"/>
    </row>
    <row r="264" spans="1:22">
      <c r="A264" s="212" t="s">
        <v>114</v>
      </c>
      <c r="B264" s="299"/>
      <c r="C264" s="299">
        <v>15000</v>
      </c>
      <c r="D264" s="299">
        <v>22000</v>
      </c>
      <c r="E264" s="299">
        <v>20000</v>
      </c>
      <c r="F264" s="299">
        <v>50000</v>
      </c>
      <c r="G264" s="299">
        <v>150000</v>
      </c>
      <c r="H264" s="299">
        <v>60000</v>
      </c>
      <c r="I264" s="301">
        <f t="shared" si="79"/>
        <v>317000</v>
      </c>
      <c r="J264" s="221"/>
      <c r="K264" s="221"/>
      <c r="L264" s="221"/>
      <c r="M264" s="212" t="s">
        <v>114</v>
      </c>
      <c r="N264" s="299">
        <v>0</v>
      </c>
      <c r="O264" s="299">
        <v>10000</v>
      </c>
      <c r="P264" s="299">
        <v>14666.666666666666</v>
      </c>
      <c r="Q264" s="299">
        <v>13333.333333333332</v>
      </c>
      <c r="R264" s="299">
        <v>37332.999999999993</v>
      </c>
      <c r="S264" s="299">
        <v>105333.33333333333</v>
      </c>
      <c r="T264" s="299">
        <v>39989.666666666664</v>
      </c>
      <c r="U264" s="301">
        <f t="shared" si="80"/>
        <v>220655.99999999997</v>
      </c>
      <c r="V264" s="223"/>
    </row>
    <row r="265" spans="1:22">
      <c r="A265" s="212" t="s">
        <v>115</v>
      </c>
      <c r="B265" s="299">
        <v>10000</v>
      </c>
      <c r="C265" s="299">
        <v>0</v>
      </c>
      <c r="D265" s="299">
        <v>15000</v>
      </c>
      <c r="E265" s="299">
        <v>15000</v>
      </c>
      <c r="F265" s="299">
        <v>20000</v>
      </c>
      <c r="G265" s="299">
        <v>30000</v>
      </c>
      <c r="H265" s="299">
        <v>80000</v>
      </c>
      <c r="I265" s="301">
        <f t="shared" si="79"/>
        <v>170000</v>
      </c>
      <c r="J265" s="221"/>
      <c r="K265" s="221"/>
      <c r="L265" s="221"/>
      <c r="M265" s="212" t="s">
        <v>115</v>
      </c>
      <c r="N265" s="299">
        <v>15000</v>
      </c>
      <c r="O265" s="299">
        <v>0</v>
      </c>
      <c r="P265" s="299">
        <v>10000</v>
      </c>
      <c r="Q265" s="299">
        <v>10000</v>
      </c>
      <c r="R265" s="299">
        <v>20000</v>
      </c>
      <c r="S265" s="299">
        <v>30000</v>
      </c>
      <c r="T265" s="299">
        <v>50000</v>
      </c>
      <c r="U265" s="301">
        <f t="shared" si="80"/>
        <v>135000</v>
      </c>
      <c r="V265" s="223"/>
    </row>
    <row r="266" spans="1:22">
      <c r="A266" s="204" t="s">
        <v>116</v>
      </c>
      <c r="B266" s="295">
        <f>SUM(B260:B265)</f>
        <v>100000</v>
      </c>
      <c r="C266" s="295">
        <f t="shared" ref="C266:I266" si="81">SUM(C260:C265)</f>
        <v>155000</v>
      </c>
      <c r="D266" s="295">
        <f t="shared" si="81"/>
        <v>256000</v>
      </c>
      <c r="E266" s="295">
        <f t="shared" si="81"/>
        <v>472000</v>
      </c>
      <c r="F266" s="295">
        <f t="shared" si="81"/>
        <v>445000</v>
      </c>
      <c r="G266" s="295">
        <f t="shared" si="81"/>
        <v>541000</v>
      </c>
      <c r="H266" s="295">
        <f t="shared" si="81"/>
        <v>296000</v>
      </c>
      <c r="I266" s="295">
        <f t="shared" si="81"/>
        <v>2265000</v>
      </c>
      <c r="J266" s="221"/>
      <c r="K266" s="221"/>
      <c r="L266" s="221"/>
      <c r="M266" s="204" t="s">
        <v>116</v>
      </c>
      <c r="N266" s="295">
        <f>SUM(N260:N265)</f>
        <v>106837</v>
      </c>
      <c r="O266" s="295">
        <f t="shared" ref="O266:U266" si="82">SUM(O260:O265)</f>
        <v>125101</v>
      </c>
      <c r="P266" s="295">
        <f t="shared" si="82"/>
        <v>235286.66666666666</v>
      </c>
      <c r="Q266" s="295">
        <f t="shared" si="82"/>
        <v>404625.33333333331</v>
      </c>
      <c r="R266" s="295">
        <f t="shared" si="82"/>
        <v>431383</v>
      </c>
      <c r="S266" s="295">
        <f t="shared" si="82"/>
        <v>480330.53333333333</v>
      </c>
      <c r="T266" s="295">
        <f t="shared" si="82"/>
        <v>200358.96666666665</v>
      </c>
      <c r="U266" s="295">
        <f t="shared" si="82"/>
        <v>1983922.5</v>
      </c>
      <c r="V266" s="223"/>
    </row>
    <row r="269" spans="1:22" ht="22.5">
      <c r="A269" s="197" t="s">
        <v>123</v>
      </c>
    </row>
    <row r="270" spans="1:22" ht="17.5" customHeight="1">
      <c r="A270" s="317" t="s">
        <v>106</v>
      </c>
      <c r="B270" s="318">
        <v>45859</v>
      </c>
      <c r="C270" s="318">
        <v>45860</v>
      </c>
      <c r="D270" s="318">
        <v>45861</v>
      </c>
      <c r="E270" s="318">
        <v>45862</v>
      </c>
      <c r="F270" s="318">
        <v>45863</v>
      </c>
      <c r="G270" s="318">
        <v>45864</v>
      </c>
      <c r="H270" s="318">
        <v>45865</v>
      </c>
      <c r="I270" s="202" t="s">
        <v>107</v>
      </c>
      <c r="J270" s="467" t="s">
        <v>167</v>
      </c>
      <c r="N270" s="199"/>
    </row>
    <row r="271" spans="1:22" ht="16" customHeight="1">
      <c r="A271" s="204" t="s">
        <v>108</v>
      </c>
      <c r="B271" s="205" t="s">
        <v>117</v>
      </c>
      <c r="C271" s="205" t="s">
        <v>117</v>
      </c>
      <c r="D271" s="205" t="s">
        <v>117</v>
      </c>
      <c r="E271" s="205" t="s">
        <v>117</v>
      </c>
      <c r="F271" s="205" t="s">
        <v>117</v>
      </c>
      <c r="G271" s="205" t="s">
        <v>117</v>
      </c>
      <c r="H271" s="205" t="s">
        <v>117</v>
      </c>
      <c r="I271" s="206" t="s">
        <v>124</v>
      </c>
      <c r="J271" s="467"/>
      <c r="N271" s="199"/>
    </row>
    <row r="272" spans="1:22" ht="17.5">
      <c r="A272" s="208" t="s">
        <v>110</v>
      </c>
      <c r="B272" s="315">
        <v>13</v>
      </c>
      <c r="C272" s="315">
        <v>15</v>
      </c>
      <c r="D272" s="315">
        <v>14</v>
      </c>
      <c r="E272" s="315">
        <v>15</v>
      </c>
      <c r="F272" s="315">
        <v>26</v>
      </c>
      <c r="G272" s="315">
        <v>29</v>
      </c>
      <c r="H272" s="315">
        <v>15</v>
      </c>
      <c r="I272" s="214">
        <f t="shared" ref="I272:I277" si="83">SUM(B272:H272)</f>
        <v>127</v>
      </c>
      <c r="J272" s="219">
        <f t="shared" ref="J272:J278" si="84">I272-I248</f>
        <v>44</v>
      </c>
      <c r="N272" s="199"/>
    </row>
    <row r="273" spans="1:15" ht="17.5">
      <c r="A273" s="212" t="s">
        <v>111</v>
      </c>
      <c r="B273" s="315">
        <v>5</v>
      </c>
      <c r="C273" s="315">
        <v>12</v>
      </c>
      <c r="D273" s="315">
        <v>13</v>
      </c>
      <c r="E273" s="315">
        <v>30</v>
      </c>
      <c r="F273" s="315">
        <v>9</v>
      </c>
      <c r="G273" s="315">
        <v>10</v>
      </c>
      <c r="H273" s="315">
        <v>9</v>
      </c>
      <c r="I273" s="214">
        <f t="shared" si="83"/>
        <v>88</v>
      </c>
      <c r="J273" s="219">
        <f t="shared" si="84"/>
        <v>-8</v>
      </c>
      <c r="N273" s="199"/>
    </row>
    <row r="274" spans="1:15" ht="17.5">
      <c r="A274" s="212" t="s">
        <v>112</v>
      </c>
      <c r="B274" s="315"/>
      <c r="C274" s="315">
        <v>3</v>
      </c>
      <c r="D274" s="315">
        <v>15</v>
      </c>
      <c r="E274" s="315">
        <v>4</v>
      </c>
      <c r="F274" s="315">
        <v>5</v>
      </c>
      <c r="G274" s="315">
        <v>10</v>
      </c>
      <c r="H274" s="315">
        <v>5</v>
      </c>
      <c r="I274" s="214">
        <f t="shared" si="83"/>
        <v>42</v>
      </c>
      <c r="J274" s="219">
        <f t="shared" si="84"/>
        <v>15</v>
      </c>
      <c r="N274" s="199"/>
    </row>
    <row r="275" spans="1:15" ht="17.5">
      <c r="A275" s="212" t="s">
        <v>113</v>
      </c>
      <c r="B275" s="315" t="s">
        <v>126</v>
      </c>
      <c r="C275" s="315">
        <v>4</v>
      </c>
      <c r="D275" s="315">
        <v>5</v>
      </c>
      <c r="E275" s="315" t="s">
        <v>126</v>
      </c>
      <c r="F275" s="315">
        <v>9</v>
      </c>
      <c r="G275" s="315">
        <v>7</v>
      </c>
      <c r="H275" s="315">
        <v>6</v>
      </c>
      <c r="I275" s="214">
        <f t="shared" si="83"/>
        <v>31</v>
      </c>
      <c r="J275" s="219">
        <f t="shared" si="84"/>
        <v>4</v>
      </c>
      <c r="N275" s="199"/>
    </row>
    <row r="276" spans="1:15" ht="17.5">
      <c r="A276" s="212" t="s">
        <v>114</v>
      </c>
      <c r="B276" s="315"/>
      <c r="C276" s="315">
        <v>4</v>
      </c>
      <c r="D276" s="315">
        <v>5</v>
      </c>
      <c r="E276" s="315">
        <v>8</v>
      </c>
      <c r="F276" s="315">
        <v>12</v>
      </c>
      <c r="G276" s="315">
        <v>25</v>
      </c>
      <c r="H276" s="315">
        <v>15</v>
      </c>
      <c r="I276" s="214">
        <f t="shared" si="83"/>
        <v>69</v>
      </c>
      <c r="J276" s="219">
        <f t="shared" si="84"/>
        <v>27</v>
      </c>
      <c r="N276" s="199"/>
    </row>
    <row r="277" spans="1:15" ht="17.5">
      <c r="A277" s="212" t="s">
        <v>115</v>
      </c>
      <c r="B277" s="315">
        <v>3</v>
      </c>
      <c r="C277" s="315">
        <v>0</v>
      </c>
      <c r="D277" s="315">
        <v>4</v>
      </c>
      <c r="E277" s="315">
        <v>5</v>
      </c>
      <c r="F277" s="315">
        <v>6</v>
      </c>
      <c r="G277" s="315">
        <v>10</v>
      </c>
      <c r="H277" s="315">
        <v>18</v>
      </c>
      <c r="I277" s="214">
        <f t="shared" si="83"/>
        <v>46</v>
      </c>
      <c r="J277" s="219">
        <f t="shared" si="84"/>
        <v>8</v>
      </c>
      <c r="N277" s="199"/>
    </row>
    <row r="278" spans="1:15" ht="17.5">
      <c r="A278" s="204" t="s">
        <v>116</v>
      </c>
      <c r="B278" s="316">
        <f>SUM(B272:B277)</f>
        <v>21</v>
      </c>
      <c r="C278" s="316">
        <f t="shared" ref="C278:I278" si="85">SUM(C272:C277)</f>
        <v>38</v>
      </c>
      <c r="D278" s="316">
        <f t="shared" si="85"/>
        <v>56</v>
      </c>
      <c r="E278" s="316">
        <f t="shared" si="85"/>
        <v>62</v>
      </c>
      <c r="F278" s="316">
        <f t="shared" si="85"/>
        <v>67</v>
      </c>
      <c r="G278" s="316">
        <f t="shared" si="85"/>
        <v>91</v>
      </c>
      <c r="H278" s="316">
        <f t="shared" si="85"/>
        <v>68</v>
      </c>
      <c r="I278" s="216">
        <f t="shared" si="85"/>
        <v>403</v>
      </c>
      <c r="J278" s="219">
        <f t="shared" si="84"/>
        <v>90</v>
      </c>
      <c r="N278" s="199"/>
    </row>
    <row r="282" spans="1:15" ht="22.5">
      <c r="A282" s="197" t="s">
        <v>193</v>
      </c>
      <c r="E282" s="218"/>
      <c r="O282" s="198"/>
    </row>
    <row r="283" spans="1:15" ht="17" customHeight="1">
      <c r="A283" s="225" t="s">
        <v>106</v>
      </c>
      <c r="B283" s="318">
        <v>45859</v>
      </c>
      <c r="C283" s="318">
        <v>45860</v>
      </c>
      <c r="D283" s="318">
        <v>45861</v>
      </c>
      <c r="E283" s="318">
        <v>45862</v>
      </c>
      <c r="F283" s="318">
        <v>45863</v>
      </c>
      <c r="G283" s="318">
        <v>45864</v>
      </c>
      <c r="H283" s="318">
        <v>45865</v>
      </c>
      <c r="I283" s="202" t="s">
        <v>107</v>
      </c>
      <c r="J283" s="466" t="s">
        <v>130</v>
      </c>
      <c r="K283" s="199"/>
      <c r="L283" s="466" t="s">
        <v>131</v>
      </c>
      <c r="O283" s="198"/>
    </row>
    <row r="284" spans="1:15" ht="17" customHeight="1">
      <c r="A284" s="227" t="s">
        <v>108</v>
      </c>
      <c r="B284" s="205" t="s">
        <v>117</v>
      </c>
      <c r="C284" s="205" t="s">
        <v>117</v>
      </c>
      <c r="D284" s="205" t="s">
        <v>117</v>
      </c>
      <c r="E284" s="205" t="s">
        <v>117</v>
      </c>
      <c r="F284" s="205" t="s">
        <v>117</v>
      </c>
      <c r="G284" s="205" t="s">
        <v>117</v>
      </c>
      <c r="H284" s="205" t="s">
        <v>117</v>
      </c>
      <c r="I284" s="206" t="s">
        <v>124</v>
      </c>
      <c r="J284" s="466"/>
      <c r="K284" s="199"/>
      <c r="L284" s="466"/>
      <c r="O284" s="198"/>
    </row>
    <row r="285" spans="1:15" ht="17.5">
      <c r="A285" s="228" t="s">
        <v>110</v>
      </c>
      <c r="B285" s="209">
        <v>11</v>
      </c>
      <c r="C285" s="209">
        <v>8</v>
      </c>
      <c r="D285" s="209">
        <v>13</v>
      </c>
      <c r="E285" s="209">
        <v>5</v>
      </c>
      <c r="F285" s="209">
        <v>6</v>
      </c>
      <c r="G285" s="209">
        <v>12</v>
      </c>
      <c r="H285" s="209">
        <v>9</v>
      </c>
      <c r="I285" s="210">
        <f>SUM(B285:H285)</f>
        <v>64</v>
      </c>
      <c r="J285" s="219">
        <f>I285-I272</f>
        <v>-63</v>
      </c>
      <c r="L285" s="219">
        <f>I285-I248</f>
        <v>-19</v>
      </c>
      <c r="O285" s="198"/>
    </row>
    <row r="286" spans="1:15" ht="17.5">
      <c r="A286" s="230" t="s">
        <v>111</v>
      </c>
      <c r="B286" s="213">
        <v>4</v>
      </c>
      <c r="C286" s="213">
        <v>2</v>
      </c>
      <c r="D286" s="213"/>
      <c r="E286" s="213">
        <v>5</v>
      </c>
      <c r="F286" s="213">
        <v>1</v>
      </c>
      <c r="G286" s="213">
        <v>1</v>
      </c>
      <c r="H286" s="213"/>
      <c r="I286" s="214">
        <f t="shared" ref="I286:I290" si="86">SUM(B286:H286)</f>
        <v>13</v>
      </c>
      <c r="J286" s="219">
        <f t="shared" ref="J286:J291" si="87">I286-I273</f>
        <v>-75</v>
      </c>
      <c r="L286" s="219">
        <f t="shared" ref="L286:L291" si="88">I286-I249</f>
        <v>-83</v>
      </c>
      <c r="O286" s="198"/>
    </row>
    <row r="287" spans="1:15" ht="17.5">
      <c r="A287" s="230" t="s">
        <v>112</v>
      </c>
      <c r="B287" s="213"/>
      <c r="C287" s="213">
        <v>5</v>
      </c>
      <c r="D287" s="213">
        <v>7</v>
      </c>
      <c r="E287" s="213">
        <v>1</v>
      </c>
      <c r="F287" s="213">
        <v>1</v>
      </c>
      <c r="G287" s="213">
        <v>4</v>
      </c>
      <c r="H287" s="213"/>
      <c r="I287" s="214">
        <f t="shared" si="86"/>
        <v>18</v>
      </c>
      <c r="J287" s="219">
        <f t="shared" si="87"/>
        <v>-24</v>
      </c>
      <c r="L287" s="219">
        <f t="shared" si="88"/>
        <v>-9</v>
      </c>
      <c r="O287" s="198"/>
    </row>
    <row r="288" spans="1:15" ht="17.5">
      <c r="A288" s="230" t="s">
        <v>113</v>
      </c>
      <c r="B288" s="213"/>
      <c r="C288" s="213">
        <v>3</v>
      </c>
      <c r="D288" s="213">
        <v>1</v>
      </c>
      <c r="E288" s="213"/>
      <c r="F288" s="213">
        <v>1</v>
      </c>
      <c r="G288" s="213">
        <v>1</v>
      </c>
      <c r="H288" s="213"/>
      <c r="I288" s="214">
        <f t="shared" si="86"/>
        <v>6</v>
      </c>
      <c r="J288" s="219">
        <f t="shared" si="87"/>
        <v>-25</v>
      </c>
      <c r="L288" s="219">
        <f t="shared" si="88"/>
        <v>-21</v>
      </c>
      <c r="O288" s="198"/>
    </row>
    <row r="289" spans="1:22" ht="17.5">
      <c r="A289" s="230" t="s">
        <v>114</v>
      </c>
      <c r="B289" s="213"/>
      <c r="C289" s="213">
        <v>4</v>
      </c>
      <c r="D289" s="213"/>
      <c r="E289" s="213">
        <v>4</v>
      </c>
      <c r="F289" s="213">
        <v>8</v>
      </c>
      <c r="G289" s="213">
        <v>14</v>
      </c>
      <c r="H289" s="213">
        <v>6</v>
      </c>
      <c r="I289" s="214">
        <f t="shared" si="86"/>
        <v>36</v>
      </c>
      <c r="J289" s="219">
        <f t="shared" si="87"/>
        <v>-33</v>
      </c>
      <c r="L289" s="219">
        <f t="shared" si="88"/>
        <v>-6</v>
      </c>
      <c r="O289" s="198"/>
    </row>
    <row r="290" spans="1:22" ht="17.5">
      <c r="A290" s="230" t="s">
        <v>115</v>
      </c>
      <c r="B290" s="213">
        <v>3</v>
      </c>
      <c r="C290" s="213"/>
      <c r="D290" s="213">
        <v>1</v>
      </c>
      <c r="E290" s="213"/>
      <c r="F290" s="213">
        <v>2</v>
      </c>
      <c r="G290" s="213">
        <v>3</v>
      </c>
      <c r="H290" s="213">
        <v>7</v>
      </c>
      <c r="I290" s="214">
        <f t="shared" si="86"/>
        <v>16</v>
      </c>
      <c r="J290" s="219">
        <f t="shared" si="87"/>
        <v>-30</v>
      </c>
      <c r="L290" s="219">
        <f t="shared" si="88"/>
        <v>-22</v>
      </c>
      <c r="O290" s="198"/>
    </row>
    <row r="291" spans="1:22" ht="17.5">
      <c r="A291" s="227" t="s">
        <v>116</v>
      </c>
      <c r="B291" s="215">
        <f>SUM(B285:B290)</f>
        <v>18</v>
      </c>
      <c r="C291" s="215">
        <f t="shared" ref="C291:I291" si="89">SUM(C285:C290)</f>
        <v>22</v>
      </c>
      <c r="D291" s="215">
        <f t="shared" si="89"/>
        <v>22</v>
      </c>
      <c r="E291" s="215">
        <f t="shared" si="89"/>
        <v>15</v>
      </c>
      <c r="F291" s="215">
        <f t="shared" si="89"/>
        <v>19</v>
      </c>
      <c r="G291" s="215">
        <f t="shared" si="89"/>
        <v>35</v>
      </c>
      <c r="H291" s="215">
        <f t="shared" si="89"/>
        <v>22</v>
      </c>
      <c r="I291" s="216">
        <f t="shared" si="89"/>
        <v>153</v>
      </c>
      <c r="J291" s="219">
        <f t="shared" si="87"/>
        <v>-250</v>
      </c>
      <c r="L291" s="219">
        <f t="shared" si="88"/>
        <v>-160</v>
      </c>
      <c r="O291" s="198"/>
    </row>
    <row r="292" spans="1:22">
      <c r="O292" s="198"/>
    </row>
    <row r="293" spans="1:22">
      <c r="O293" s="198"/>
    </row>
    <row r="294" spans="1:22" ht="22.5">
      <c r="A294" s="197" t="s">
        <v>156</v>
      </c>
      <c r="J294" s="221"/>
      <c r="K294" s="221"/>
      <c r="L294" s="221"/>
      <c r="M294" s="197" t="s">
        <v>157</v>
      </c>
      <c r="O294" s="198"/>
      <c r="P294" s="198"/>
      <c r="Q294" s="198"/>
      <c r="R294" s="198"/>
      <c r="S294" s="198"/>
      <c r="T294" s="198"/>
      <c r="U294" s="198"/>
      <c r="V294" s="223"/>
    </row>
    <row r="295" spans="1:22">
      <c r="A295" s="200" t="s">
        <v>106</v>
      </c>
      <c r="B295" s="318">
        <v>45859</v>
      </c>
      <c r="C295" s="318">
        <v>45860</v>
      </c>
      <c r="D295" s="318">
        <v>45861</v>
      </c>
      <c r="E295" s="318">
        <v>45862</v>
      </c>
      <c r="F295" s="318">
        <v>45863</v>
      </c>
      <c r="G295" s="318">
        <v>45864</v>
      </c>
      <c r="H295" s="318">
        <v>45865</v>
      </c>
      <c r="I295" s="202" t="s">
        <v>107</v>
      </c>
      <c r="J295" s="221"/>
      <c r="K295" s="221"/>
      <c r="L295" s="221"/>
      <c r="M295" s="200" t="s">
        <v>106</v>
      </c>
      <c r="N295" s="318">
        <v>45859</v>
      </c>
      <c r="O295" s="318">
        <v>45860</v>
      </c>
      <c r="P295" s="318">
        <v>45861</v>
      </c>
      <c r="Q295" s="318">
        <v>45862</v>
      </c>
      <c r="R295" s="318">
        <v>45863</v>
      </c>
      <c r="S295" s="318">
        <v>45864</v>
      </c>
      <c r="T295" s="318">
        <v>45865</v>
      </c>
      <c r="U295" s="202" t="s">
        <v>107</v>
      </c>
      <c r="V295" s="223"/>
    </row>
    <row r="296" spans="1:22">
      <c r="A296" s="204" t="s">
        <v>108</v>
      </c>
      <c r="B296" s="205" t="s">
        <v>133</v>
      </c>
      <c r="C296" s="205" t="s">
        <v>133</v>
      </c>
      <c r="D296" s="205" t="s">
        <v>133</v>
      </c>
      <c r="E296" s="205" t="s">
        <v>133</v>
      </c>
      <c r="F296" s="205" t="s">
        <v>133</v>
      </c>
      <c r="G296" s="205" t="s">
        <v>133</v>
      </c>
      <c r="H296" s="205" t="s">
        <v>133</v>
      </c>
      <c r="I296" s="206" t="s">
        <v>124</v>
      </c>
      <c r="J296" s="221"/>
      <c r="K296" s="221"/>
      <c r="L296" s="221"/>
      <c r="M296" s="204" t="s">
        <v>108</v>
      </c>
      <c r="N296" s="205" t="s">
        <v>129</v>
      </c>
      <c r="O296" s="205" t="s">
        <v>129</v>
      </c>
      <c r="P296" s="205" t="s">
        <v>129</v>
      </c>
      <c r="Q296" s="205" t="s">
        <v>129</v>
      </c>
      <c r="R296" s="205" t="s">
        <v>129</v>
      </c>
      <c r="S296" s="205" t="s">
        <v>129</v>
      </c>
      <c r="T296" s="205" t="s">
        <v>129</v>
      </c>
      <c r="U296" s="206" t="s">
        <v>124</v>
      </c>
      <c r="V296" s="223"/>
    </row>
    <row r="297" spans="1:22">
      <c r="A297" s="208" t="s">
        <v>110</v>
      </c>
      <c r="B297" s="297"/>
      <c r="C297" s="297"/>
      <c r="D297" s="297"/>
      <c r="E297" s="297"/>
      <c r="F297" s="297"/>
      <c r="G297" s="297"/>
      <c r="H297" s="297"/>
      <c r="I297" s="300">
        <f>SUM(B297:H297)</f>
        <v>0</v>
      </c>
      <c r="J297" s="221"/>
      <c r="K297" s="221"/>
      <c r="L297" s="221"/>
      <c r="M297" s="208" t="s">
        <v>110</v>
      </c>
      <c r="N297" s="297"/>
      <c r="O297" s="297"/>
      <c r="P297" s="297"/>
      <c r="Q297" s="297"/>
      <c r="R297" s="297"/>
      <c r="S297" s="297"/>
      <c r="T297" s="297"/>
      <c r="U297" s="300">
        <f>SUM(N297:T297)</f>
        <v>0</v>
      </c>
      <c r="V297" s="223"/>
    </row>
    <row r="298" spans="1:22">
      <c r="A298" s="212" t="s">
        <v>111</v>
      </c>
      <c r="B298" s="299"/>
      <c r="C298" s="299"/>
      <c r="D298" s="299"/>
      <c r="E298" s="299"/>
      <c r="F298" s="299"/>
      <c r="G298" s="299"/>
      <c r="H298" s="299"/>
      <c r="I298" s="301">
        <f t="shared" ref="I298:I302" si="90">SUM(B298:H298)</f>
        <v>0</v>
      </c>
      <c r="J298" s="221"/>
      <c r="K298" s="221"/>
      <c r="L298" s="221"/>
      <c r="M298" s="212" t="s">
        <v>111</v>
      </c>
      <c r="N298" s="299"/>
      <c r="O298" s="299"/>
      <c r="P298" s="299"/>
      <c r="Q298" s="299"/>
      <c r="R298" s="299"/>
      <c r="S298" s="299"/>
      <c r="T298" s="299"/>
      <c r="U298" s="301">
        <f t="shared" ref="U298:U302" si="91">SUM(N298:T298)</f>
        <v>0</v>
      </c>
      <c r="V298" s="223"/>
    </row>
    <row r="299" spans="1:22">
      <c r="A299" s="212" t="s">
        <v>112</v>
      </c>
      <c r="B299" s="299"/>
      <c r="C299" s="299"/>
      <c r="D299" s="299"/>
      <c r="E299" s="299"/>
      <c r="F299" s="299"/>
      <c r="G299" s="299"/>
      <c r="H299" s="299"/>
      <c r="I299" s="301">
        <f t="shared" si="90"/>
        <v>0</v>
      </c>
      <c r="J299" s="221"/>
      <c r="K299" s="221"/>
      <c r="L299" s="221"/>
      <c r="M299" s="212" t="s">
        <v>112</v>
      </c>
      <c r="N299" s="299"/>
      <c r="O299" s="299"/>
      <c r="P299" s="299"/>
      <c r="Q299" s="299"/>
      <c r="R299" s="299"/>
      <c r="S299" s="299"/>
      <c r="T299" s="299"/>
      <c r="U299" s="301">
        <f t="shared" si="91"/>
        <v>0</v>
      </c>
      <c r="V299" s="223"/>
    </row>
    <row r="300" spans="1:22">
      <c r="A300" s="212" t="s">
        <v>113</v>
      </c>
      <c r="B300" s="299"/>
      <c r="C300" s="299"/>
      <c r="D300" s="299"/>
      <c r="E300" s="299"/>
      <c r="F300" s="299"/>
      <c r="G300" s="299"/>
      <c r="H300" s="299"/>
      <c r="I300" s="301">
        <f t="shared" si="90"/>
        <v>0</v>
      </c>
      <c r="J300" s="221"/>
      <c r="K300" s="221"/>
      <c r="L300" s="221"/>
      <c r="M300" s="212" t="s">
        <v>113</v>
      </c>
      <c r="N300" s="299"/>
      <c r="O300" s="299"/>
      <c r="P300" s="299"/>
      <c r="Q300" s="299"/>
      <c r="R300" s="299"/>
      <c r="S300" s="299"/>
      <c r="T300" s="299"/>
      <c r="U300" s="301">
        <f t="shared" si="91"/>
        <v>0</v>
      </c>
      <c r="V300" s="223"/>
    </row>
    <row r="301" spans="1:22">
      <c r="A301" s="212" t="s">
        <v>114</v>
      </c>
      <c r="B301" s="299"/>
      <c r="C301" s="299"/>
      <c r="D301" s="299"/>
      <c r="E301" s="299"/>
      <c r="F301" s="299"/>
      <c r="G301" s="299"/>
      <c r="H301" s="299"/>
      <c r="I301" s="301">
        <f t="shared" si="90"/>
        <v>0</v>
      </c>
      <c r="J301" s="221"/>
      <c r="K301" s="221"/>
      <c r="L301" s="221"/>
      <c r="M301" s="212" t="s">
        <v>114</v>
      </c>
      <c r="N301" s="299"/>
      <c r="O301" s="299"/>
      <c r="P301" s="299"/>
      <c r="Q301" s="299"/>
      <c r="R301" s="299"/>
      <c r="S301" s="299"/>
      <c r="T301" s="299"/>
      <c r="U301" s="301">
        <f t="shared" si="91"/>
        <v>0</v>
      </c>
      <c r="V301" s="223"/>
    </row>
    <row r="302" spans="1:22">
      <c r="A302" s="212" t="s">
        <v>115</v>
      </c>
      <c r="B302" s="299"/>
      <c r="C302" s="299"/>
      <c r="D302" s="299"/>
      <c r="E302" s="299"/>
      <c r="F302" s="299"/>
      <c r="G302" s="299"/>
      <c r="H302" s="299"/>
      <c r="I302" s="301">
        <f t="shared" si="90"/>
        <v>0</v>
      </c>
      <c r="J302" s="221"/>
      <c r="K302" s="221"/>
      <c r="L302" s="221"/>
      <c r="M302" s="212" t="s">
        <v>115</v>
      </c>
      <c r="N302" s="299"/>
      <c r="O302" s="299"/>
      <c r="P302" s="299"/>
      <c r="Q302" s="299"/>
      <c r="R302" s="299"/>
      <c r="S302" s="299"/>
      <c r="T302" s="299"/>
      <c r="U302" s="301">
        <f t="shared" si="91"/>
        <v>0</v>
      </c>
      <c r="V302" s="223"/>
    </row>
    <row r="303" spans="1:22">
      <c r="A303" s="204" t="s">
        <v>116</v>
      </c>
      <c r="B303" s="295">
        <f>SUM(B297:B302)</f>
        <v>0</v>
      </c>
      <c r="C303" s="295">
        <f t="shared" ref="C303:I303" si="92">SUM(C297:C302)</f>
        <v>0</v>
      </c>
      <c r="D303" s="295">
        <f t="shared" si="92"/>
        <v>0</v>
      </c>
      <c r="E303" s="295">
        <f t="shared" si="92"/>
        <v>0</v>
      </c>
      <c r="F303" s="295">
        <f t="shared" si="92"/>
        <v>0</v>
      </c>
      <c r="G303" s="295">
        <f t="shared" si="92"/>
        <v>0</v>
      </c>
      <c r="H303" s="295">
        <f t="shared" si="92"/>
        <v>0</v>
      </c>
      <c r="I303" s="295">
        <f t="shared" si="92"/>
        <v>0</v>
      </c>
      <c r="J303" s="221"/>
      <c r="K303" s="221"/>
      <c r="L303" s="221"/>
      <c r="M303" s="204" t="s">
        <v>116</v>
      </c>
      <c r="N303" s="295">
        <f>SUM(N297:N302)</f>
        <v>0</v>
      </c>
      <c r="O303" s="295">
        <f t="shared" ref="O303:U303" si="93">SUM(O297:O302)</f>
        <v>0</v>
      </c>
      <c r="P303" s="295">
        <f t="shared" si="93"/>
        <v>0</v>
      </c>
      <c r="Q303" s="295">
        <f t="shared" si="93"/>
        <v>0</v>
      </c>
      <c r="R303" s="295">
        <f t="shared" si="93"/>
        <v>0</v>
      </c>
      <c r="S303" s="295">
        <f t="shared" si="93"/>
        <v>0</v>
      </c>
      <c r="T303" s="295">
        <f t="shared" si="93"/>
        <v>0</v>
      </c>
      <c r="U303" s="295">
        <f t="shared" si="93"/>
        <v>0</v>
      </c>
      <c r="V303" s="223"/>
    </row>
    <row r="307" spans="1:21" s="250" customFormat="1" ht="22.5">
      <c r="A307" s="247" t="s">
        <v>163</v>
      </c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7" t="s">
        <v>164</v>
      </c>
      <c r="N307" s="248"/>
      <c r="O307" s="248"/>
      <c r="P307" s="248"/>
      <c r="Q307" s="248"/>
      <c r="R307" s="248"/>
      <c r="S307" s="248"/>
      <c r="T307" s="248"/>
      <c r="U307" s="248"/>
    </row>
    <row r="308" spans="1:21" s="250" customFormat="1" ht="13.5" customHeight="1">
      <c r="A308" s="251" t="s">
        <v>106</v>
      </c>
      <c r="B308" s="310">
        <v>45501</v>
      </c>
      <c r="C308" s="310">
        <v>45502</v>
      </c>
      <c r="D308" s="310">
        <v>45503</v>
      </c>
      <c r="E308" s="310">
        <v>45504</v>
      </c>
      <c r="F308" s="253" t="s">
        <v>107</v>
      </c>
      <c r="G308" s="320"/>
      <c r="H308" s="320"/>
      <c r="I308" s="320"/>
      <c r="J308" s="248"/>
      <c r="K308" s="248"/>
      <c r="L308" s="248"/>
      <c r="M308" s="251" t="s">
        <v>106</v>
      </c>
      <c r="N308" s="310">
        <v>45501</v>
      </c>
      <c r="O308" s="310">
        <v>45502</v>
      </c>
      <c r="P308" s="310">
        <v>45503</v>
      </c>
      <c r="Q308" s="310">
        <v>45504</v>
      </c>
      <c r="R308" s="253" t="s">
        <v>107</v>
      </c>
    </row>
    <row r="309" spans="1:21" s="250" customFormat="1">
      <c r="A309" s="257" t="s">
        <v>108</v>
      </c>
      <c r="B309" s="258" t="s">
        <v>128</v>
      </c>
      <c r="C309" s="258" t="s">
        <v>128</v>
      </c>
      <c r="D309" s="258" t="s">
        <v>128</v>
      </c>
      <c r="E309" s="258" t="s">
        <v>128</v>
      </c>
      <c r="F309" s="259" t="s">
        <v>162</v>
      </c>
      <c r="G309" s="262"/>
      <c r="H309" s="262"/>
      <c r="I309" s="262"/>
      <c r="J309" s="248"/>
      <c r="K309" s="248"/>
      <c r="L309" s="248"/>
      <c r="M309" s="257" t="s">
        <v>108</v>
      </c>
      <c r="N309" s="258" t="s">
        <v>129</v>
      </c>
      <c r="O309" s="258" t="s">
        <v>129</v>
      </c>
      <c r="P309" s="258" t="s">
        <v>129</v>
      </c>
      <c r="Q309" s="258" t="s">
        <v>129</v>
      </c>
      <c r="R309" s="259" t="s">
        <v>124</v>
      </c>
    </row>
    <row r="310" spans="1:21" s="250" customFormat="1">
      <c r="A310" s="263" t="s">
        <v>110</v>
      </c>
      <c r="B310" s="264">
        <v>31658.68</v>
      </c>
      <c r="C310" s="264">
        <v>116150.01999999999</v>
      </c>
      <c r="D310" s="264">
        <v>39756.839999999997</v>
      </c>
      <c r="E310" s="264">
        <v>85025.98</v>
      </c>
      <c r="F310" s="265">
        <f t="shared" ref="F310:F316" si="94">SUM(B310:E310)</f>
        <v>272591.51999999996</v>
      </c>
      <c r="G310" s="321"/>
      <c r="H310" s="321"/>
      <c r="I310" s="321"/>
      <c r="J310" s="248"/>
      <c r="K310" s="248"/>
      <c r="L310" s="248"/>
      <c r="M310" s="263" t="s">
        <v>110</v>
      </c>
      <c r="N310" s="264">
        <v>26127.75</v>
      </c>
      <c r="O310" s="264">
        <v>146862.9</v>
      </c>
      <c r="P310" s="264">
        <v>19636.449999999997</v>
      </c>
      <c r="Q310" s="264">
        <v>125632</v>
      </c>
      <c r="R310" s="265">
        <f t="shared" ref="R310:R316" si="95">SUM(N310:Q310)</f>
        <v>318259.09999999998</v>
      </c>
    </row>
    <row r="311" spans="1:21" s="250" customFormat="1">
      <c r="A311" s="269" t="s">
        <v>111</v>
      </c>
      <c r="B311" s="270">
        <v>10678.39</v>
      </c>
      <c r="C311" s="270">
        <v>11394.960000000001</v>
      </c>
      <c r="D311" s="270">
        <v>36884.350000000013</v>
      </c>
      <c r="E311" s="270">
        <v>20783.52</v>
      </c>
      <c r="F311" s="265">
        <f t="shared" si="94"/>
        <v>79741.220000000016</v>
      </c>
      <c r="G311" s="321"/>
      <c r="H311" s="321"/>
      <c r="I311" s="321"/>
      <c r="J311" s="248"/>
      <c r="K311" s="248"/>
      <c r="L311" s="248"/>
      <c r="M311" s="269" t="s">
        <v>111</v>
      </c>
      <c r="N311" s="270">
        <v>4850</v>
      </c>
      <c r="O311" s="270">
        <v>10332.799999999999</v>
      </c>
      <c r="P311" s="270">
        <v>30397</v>
      </c>
      <c r="Q311" s="270">
        <v>30657</v>
      </c>
      <c r="R311" s="265">
        <f t="shared" si="95"/>
        <v>76236.800000000003</v>
      </c>
    </row>
    <row r="312" spans="1:21" s="250" customFormat="1">
      <c r="A312" s="269" t="s">
        <v>112</v>
      </c>
      <c r="B312" s="270">
        <v>9960.5700000000015</v>
      </c>
      <c r="C312" s="270">
        <v>0</v>
      </c>
      <c r="D312" s="270">
        <v>3059</v>
      </c>
      <c r="E312" s="270">
        <v>14413.949999999999</v>
      </c>
      <c r="F312" s="265">
        <f t="shared" si="94"/>
        <v>27433.52</v>
      </c>
      <c r="G312" s="321"/>
      <c r="H312" s="321"/>
      <c r="I312" s="321"/>
      <c r="J312" s="248"/>
      <c r="K312" s="248"/>
      <c r="L312" s="248"/>
      <c r="M312" s="269" t="s">
        <v>112</v>
      </c>
      <c r="N312" s="270">
        <v>15038.9</v>
      </c>
      <c r="O312" s="270">
        <v>0</v>
      </c>
      <c r="P312" s="270">
        <v>1760</v>
      </c>
      <c r="Q312" s="270">
        <v>62602.35</v>
      </c>
      <c r="R312" s="265">
        <f t="shared" si="95"/>
        <v>79401.25</v>
      </c>
    </row>
    <row r="313" spans="1:21" s="250" customFormat="1">
      <c r="A313" s="269" t="s">
        <v>113</v>
      </c>
      <c r="B313" s="270">
        <v>34374.160000000003</v>
      </c>
      <c r="C313" s="270">
        <v>0</v>
      </c>
      <c r="D313" s="270">
        <v>18364.87</v>
      </c>
      <c r="E313" s="270">
        <v>48576.36</v>
      </c>
      <c r="F313" s="265">
        <f t="shared" si="94"/>
        <v>101315.39</v>
      </c>
      <c r="G313" s="321"/>
      <c r="H313" s="321"/>
      <c r="I313" s="321"/>
      <c r="J313" s="248"/>
      <c r="K313" s="248"/>
      <c r="L313" s="248"/>
      <c r="M313" s="269" t="s">
        <v>113</v>
      </c>
      <c r="N313" s="270">
        <v>56192.81</v>
      </c>
      <c r="O313" s="270">
        <v>0</v>
      </c>
      <c r="P313" s="270">
        <v>28610.99</v>
      </c>
      <c r="Q313" s="270">
        <v>50937.9</v>
      </c>
      <c r="R313" s="265">
        <f t="shared" si="95"/>
        <v>135741.70000000001</v>
      </c>
    </row>
    <row r="314" spans="1:21" s="250" customFormat="1">
      <c r="A314" s="269" t="s">
        <v>114</v>
      </c>
      <c r="B314" s="270">
        <v>15851.109999999999</v>
      </c>
      <c r="C314" s="270">
        <v>0</v>
      </c>
      <c r="D314" s="270">
        <v>21381.739999999998</v>
      </c>
      <c r="E314" s="270">
        <v>12796.029999999999</v>
      </c>
      <c r="F314" s="265">
        <f t="shared" si="94"/>
        <v>50028.88</v>
      </c>
      <c r="G314" s="321"/>
      <c r="H314" s="321"/>
      <c r="I314" s="321"/>
      <c r="J314" s="248"/>
      <c r="K314" s="248"/>
      <c r="L314" s="248"/>
      <c r="M314" s="269" t="s">
        <v>114</v>
      </c>
      <c r="N314" s="270">
        <v>20354.400000000001</v>
      </c>
      <c r="O314" s="270">
        <v>0</v>
      </c>
      <c r="P314" s="270">
        <v>34053</v>
      </c>
      <c r="Q314" s="270">
        <v>21320.21</v>
      </c>
      <c r="R314" s="265">
        <f t="shared" si="95"/>
        <v>75727.61</v>
      </c>
    </row>
    <row r="315" spans="1:21" s="250" customFormat="1">
      <c r="A315" s="269" t="s">
        <v>115</v>
      </c>
      <c r="B315" s="270">
        <v>18261.939999999999</v>
      </c>
      <c r="C315" s="270">
        <v>19015.560000000001</v>
      </c>
      <c r="D315" s="270">
        <v>0</v>
      </c>
      <c r="E315" s="270">
        <v>48480.850000000006</v>
      </c>
      <c r="F315" s="265">
        <f t="shared" si="94"/>
        <v>85758.35</v>
      </c>
      <c r="G315" s="321"/>
      <c r="H315" s="321"/>
      <c r="I315" s="321"/>
      <c r="J315" s="248"/>
      <c r="K315" s="248"/>
      <c r="L315" s="248"/>
      <c r="M315" s="269" t="s">
        <v>115</v>
      </c>
      <c r="N315" s="270">
        <v>6580</v>
      </c>
      <c r="O315" s="270">
        <v>14777</v>
      </c>
      <c r="P315" s="270">
        <v>0</v>
      </c>
      <c r="Q315" s="270">
        <v>879</v>
      </c>
      <c r="R315" s="265">
        <f t="shared" si="95"/>
        <v>22236</v>
      </c>
    </row>
    <row r="316" spans="1:21" s="250" customFormat="1">
      <c r="A316" s="257" t="s">
        <v>116</v>
      </c>
      <c r="B316" s="272">
        <f>SUM(B310:B315)</f>
        <v>120784.85</v>
      </c>
      <c r="C316" s="272">
        <f t="shared" ref="C316:E316" si="96">SUM(C310:C315)</f>
        <v>146560.54</v>
      </c>
      <c r="D316" s="272">
        <f t="shared" si="96"/>
        <v>119446.79999999999</v>
      </c>
      <c r="E316" s="272">
        <f t="shared" si="96"/>
        <v>230076.69</v>
      </c>
      <c r="F316" s="273">
        <f t="shared" si="94"/>
        <v>616868.88</v>
      </c>
      <c r="G316" s="321"/>
      <c r="H316" s="321"/>
      <c r="I316" s="321"/>
      <c r="J316" s="248"/>
      <c r="K316" s="248"/>
      <c r="L316" s="248"/>
      <c r="M316" s="257" t="s">
        <v>116</v>
      </c>
      <c r="N316" s="272">
        <f>SUM(N310:N315)</f>
        <v>129143.85999999999</v>
      </c>
      <c r="O316" s="272">
        <f t="shared" ref="O316:Q316" si="97">SUM(O310:O315)</f>
        <v>171972.69999999998</v>
      </c>
      <c r="P316" s="272">
        <f t="shared" si="97"/>
        <v>114457.44</v>
      </c>
      <c r="Q316" s="272">
        <f t="shared" si="97"/>
        <v>292028.46000000002</v>
      </c>
      <c r="R316" s="273">
        <f t="shared" si="95"/>
        <v>707602.46</v>
      </c>
    </row>
    <row r="317" spans="1:21" s="250" customFormat="1"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</row>
    <row r="318" spans="1:21" s="250" customFormat="1"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</row>
    <row r="319" spans="1:21" s="250" customFormat="1"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</row>
    <row r="320" spans="1:21" s="250" customFormat="1"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</row>
    <row r="321" spans="1:21" s="250" customFormat="1" ht="22.5">
      <c r="A321" s="247" t="s">
        <v>161</v>
      </c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</row>
    <row r="322" spans="1:21" s="250" customFormat="1">
      <c r="A322" s="311" t="s">
        <v>106</v>
      </c>
      <c r="B322" s="310">
        <v>45501</v>
      </c>
      <c r="C322" s="310">
        <v>45502</v>
      </c>
      <c r="D322" s="310">
        <v>45503</v>
      </c>
      <c r="E322" s="310">
        <v>45504</v>
      </c>
      <c r="F322" s="253" t="s">
        <v>107</v>
      </c>
      <c r="G322" s="248"/>
      <c r="H322" s="248"/>
      <c r="I322" s="248"/>
      <c r="J322" s="248"/>
    </row>
    <row r="323" spans="1:21" s="250" customFormat="1">
      <c r="A323" s="312" t="s">
        <v>108</v>
      </c>
      <c r="B323" s="313" t="s">
        <v>109</v>
      </c>
      <c r="C323" s="313" t="s">
        <v>109</v>
      </c>
      <c r="D323" s="313" t="s">
        <v>109</v>
      </c>
      <c r="E323" s="313" t="s">
        <v>109</v>
      </c>
      <c r="F323" s="259" t="s">
        <v>162</v>
      </c>
      <c r="G323" s="248"/>
      <c r="H323" s="248"/>
      <c r="I323" s="248"/>
      <c r="J323" s="248"/>
    </row>
    <row r="324" spans="1:21" s="250" customFormat="1">
      <c r="A324" s="263" t="s">
        <v>110</v>
      </c>
      <c r="B324" s="264">
        <v>7</v>
      </c>
      <c r="C324" s="264">
        <v>13</v>
      </c>
      <c r="D324" s="264">
        <v>9</v>
      </c>
      <c r="E324" s="264">
        <v>11</v>
      </c>
      <c r="F324" s="265">
        <f t="shared" ref="F324:F329" si="98">SUM(B324:E324)</f>
        <v>40</v>
      </c>
      <c r="G324" s="248"/>
      <c r="H324" s="248"/>
      <c r="I324" s="248"/>
      <c r="J324" s="248"/>
      <c r="K324" s="248"/>
      <c r="L324" s="248"/>
    </row>
    <row r="325" spans="1:21" s="250" customFormat="1">
      <c r="A325" s="269" t="s">
        <v>111</v>
      </c>
      <c r="B325" s="270">
        <v>5</v>
      </c>
      <c r="C325" s="270">
        <v>7</v>
      </c>
      <c r="D325" s="270">
        <v>12</v>
      </c>
      <c r="E325" s="270">
        <v>7</v>
      </c>
      <c r="F325" s="271">
        <f t="shared" si="98"/>
        <v>31</v>
      </c>
      <c r="G325" s="248"/>
      <c r="H325" s="248"/>
      <c r="I325" s="248"/>
      <c r="J325" s="248"/>
      <c r="K325" s="248"/>
      <c r="L325" s="248"/>
    </row>
    <row r="326" spans="1:21" s="250" customFormat="1">
      <c r="A326" s="269" t="s">
        <v>112</v>
      </c>
      <c r="B326" s="270">
        <v>6</v>
      </c>
      <c r="C326" s="270"/>
      <c r="D326" s="270">
        <v>2</v>
      </c>
      <c r="E326" s="270">
        <v>5</v>
      </c>
      <c r="F326" s="271">
        <f t="shared" si="98"/>
        <v>13</v>
      </c>
      <c r="G326" s="248"/>
      <c r="H326" s="248"/>
      <c r="I326" s="248"/>
      <c r="J326" s="248"/>
      <c r="K326" s="248"/>
      <c r="L326" s="248"/>
    </row>
    <row r="327" spans="1:21" s="250" customFormat="1">
      <c r="A327" s="269" t="s">
        <v>113</v>
      </c>
      <c r="B327" s="270">
        <v>6</v>
      </c>
      <c r="C327" s="270"/>
      <c r="D327" s="270">
        <v>5</v>
      </c>
      <c r="E327" s="270">
        <v>5</v>
      </c>
      <c r="F327" s="271">
        <f t="shared" si="98"/>
        <v>16</v>
      </c>
      <c r="G327" s="248"/>
      <c r="H327" s="248"/>
      <c r="I327" s="248"/>
      <c r="J327" s="248"/>
      <c r="K327" s="248"/>
      <c r="L327" s="248"/>
    </row>
    <row r="328" spans="1:21" s="250" customFormat="1">
      <c r="A328" s="269" t="s">
        <v>114</v>
      </c>
      <c r="B328" s="270">
        <v>7</v>
      </c>
      <c r="C328" s="270"/>
      <c r="D328" s="270">
        <v>5</v>
      </c>
      <c r="E328" s="270">
        <v>4</v>
      </c>
      <c r="F328" s="271">
        <f t="shared" si="98"/>
        <v>16</v>
      </c>
      <c r="G328" s="248"/>
      <c r="H328" s="248"/>
      <c r="I328" s="248"/>
      <c r="J328" s="248"/>
      <c r="K328" s="248"/>
      <c r="L328" s="248"/>
    </row>
    <row r="329" spans="1:21" s="250" customFormat="1">
      <c r="A329" s="269" t="s">
        <v>115</v>
      </c>
      <c r="B329" s="270">
        <v>7</v>
      </c>
      <c r="C329" s="270">
        <v>7</v>
      </c>
      <c r="D329" s="270"/>
      <c r="E329" s="270">
        <v>8</v>
      </c>
      <c r="F329" s="271">
        <f t="shared" si="98"/>
        <v>22</v>
      </c>
      <c r="G329" s="248"/>
      <c r="H329" s="248"/>
      <c r="I329" s="248"/>
      <c r="J329" s="248"/>
      <c r="K329" s="248"/>
      <c r="L329" s="248"/>
    </row>
    <row r="330" spans="1:21" s="250" customFormat="1">
      <c r="A330" s="257" t="s">
        <v>116</v>
      </c>
      <c r="B330" s="272">
        <f>SUM(B324:B329)</f>
        <v>38</v>
      </c>
      <c r="C330" s="272">
        <f t="shared" ref="C330:F330" si="99">SUM(C324:C329)</f>
        <v>27</v>
      </c>
      <c r="D330" s="272">
        <f t="shared" si="99"/>
        <v>33</v>
      </c>
      <c r="E330" s="272">
        <f t="shared" si="99"/>
        <v>40</v>
      </c>
      <c r="F330" s="273">
        <f t="shared" si="99"/>
        <v>138</v>
      </c>
      <c r="G330" s="248"/>
      <c r="H330" s="248"/>
      <c r="I330" s="248"/>
      <c r="J330" s="248"/>
    </row>
    <row r="333" spans="1:21" s="323" customFormat="1" ht="22.5">
      <c r="A333" s="197" t="s">
        <v>165</v>
      </c>
      <c r="B333" s="322"/>
      <c r="C333" s="322"/>
      <c r="D333" s="322"/>
      <c r="E333" s="322"/>
      <c r="F333" s="322"/>
      <c r="G333" s="322"/>
      <c r="H333" s="322"/>
      <c r="I333" s="322"/>
      <c r="J333" s="322"/>
      <c r="K333" s="322"/>
      <c r="L333" s="322"/>
      <c r="M333" s="197" t="s">
        <v>166</v>
      </c>
      <c r="N333" s="322"/>
      <c r="O333" s="322"/>
      <c r="P333" s="322"/>
      <c r="Q333" s="322"/>
      <c r="R333" s="322"/>
      <c r="S333" s="322"/>
      <c r="T333" s="322"/>
      <c r="U333" s="322"/>
    </row>
    <row r="334" spans="1:21" s="323" customFormat="1" ht="13.5" customHeight="1">
      <c r="A334" s="200" t="s">
        <v>106</v>
      </c>
      <c r="B334" s="318">
        <v>45866</v>
      </c>
      <c r="C334" s="318">
        <v>45867</v>
      </c>
      <c r="D334" s="318">
        <v>45868</v>
      </c>
      <c r="E334" s="318">
        <v>45869</v>
      </c>
      <c r="F334" s="202" t="s">
        <v>107</v>
      </c>
      <c r="G334" s="239"/>
      <c r="H334" s="239"/>
      <c r="I334" s="239"/>
      <c r="J334" s="322"/>
      <c r="K334" s="322"/>
      <c r="L334" s="322"/>
      <c r="M334" s="200" t="s">
        <v>106</v>
      </c>
      <c r="N334" s="318">
        <v>45866</v>
      </c>
      <c r="O334" s="318">
        <v>45867</v>
      </c>
      <c r="P334" s="318">
        <v>45868</v>
      </c>
      <c r="Q334" s="318">
        <v>45869</v>
      </c>
      <c r="R334" s="202" t="s">
        <v>107</v>
      </c>
    </row>
    <row r="335" spans="1:21" s="323" customFormat="1">
      <c r="A335" s="204" t="s">
        <v>108</v>
      </c>
      <c r="B335" s="205" t="s">
        <v>128</v>
      </c>
      <c r="C335" s="205" t="s">
        <v>128</v>
      </c>
      <c r="D335" s="205" t="s">
        <v>128</v>
      </c>
      <c r="E335" s="205" t="s">
        <v>128</v>
      </c>
      <c r="F335" s="206" t="s">
        <v>162</v>
      </c>
      <c r="G335" s="241"/>
      <c r="H335" s="241"/>
      <c r="I335" s="241"/>
      <c r="J335" s="322"/>
      <c r="K335" s="322"/>
      <c r="L335" s="322"/>
      <c r="M335" s="204" t="s">
        <v>108</v>
      </c>
      <c r="N335" s="205" t="s">
        <v>129</v>
      </c>
      <c r="O335" s="205" t="s">
        <v>129</v>
      </c>
      <c r="P335" s="205" t="s">
        <v>129</v>
      </c>
      <c r="Q335" s="205" t="s">
        <v>129</v>
      </c>
      <c r="R335" s="206" t="s">
        <v>162</v>
      </c>
    </row>
    <row r="336" spans="1:21" s="323" customFormat="1">
      <c r="A336" s="324" t="s">
        <v>110</v>
      </c>
      <c r="B336" s="315">
        <v>60000</v>
      </c>
      <c r="C336" s="315">
        <v>60000</v>
      </c>
      <c r="D336" s="315">
        <v>35000</v>
      </c>
      <c r="E336" s="315">
        <v>60000</v>
      </c>
      <c r="F336" s="210">
        <f t="shared" ref="F336:F342" si="100">SUM(B336:E336)</f>
        <v>215000</v>
      </c>
      <c r="G336" s="325"/>
      <c r="H336" s="325"/>
      <c r="I336" s="325"/>
      <c r="J336" s="322"/>
      <c r="K336" s="322"/>
      <c r="L336" s="322"/>
      <c r="M336" s="324" t="s">
        <v>110</v>
      </c>
      <c r="N336" s="327">
        <v>64282.400000000001</v>
      </c>
      <c r="O336" s="327">
        <v>53078</v>
      </c>
      <c r="P336" s="327">
        <v>40442</v>
      </c>
      <c r="Q336" s="327">
        <v>62572</v>
      </c>
      <c r="R336" s="329">
        <f t="shared" ref="R336:R342" si="101">SUM(N336:Q336)</f>
        <v>220374.39999999999</v>
      </c>
    </row>
    <row r="337" spans="1:18" s="323" customFormat="1">
      <c r="A337" s="326" t="s">
        <v>111</v>
      </c>
      <c r="B337" s="315">
        <v>20000</v>
      </c>
      <c r="C337" s="315">
        <v>35000</v>
      </c>
      <c r="D337" s="315">
        <v>40000</v>
      </c>
      <c r="E337" s="315">
        <v>200000</v>
      </c>
      <c r="F337" s="210">
        <f t="shared" si="100"/>
        <v>295000</v>
      </c>
      <c r="G337" s="325"/>
      <c r="H337" s="325"/>
      <c r="I337" s="325"/>
      <c r="J337" s="322"/>
      <c r="K337" s="322"/>
      <c r="L337" s="322"/>
      <c r="M337" s="326" t="s">
        <v>111</v>
      </c>
      <c r="N337" s="328">
        <v>22000</v>
      </c>
      <c r="O337" s="328">
        <v>22100</v>
      </c>
      <c r="P337" s="328">
        <v>46600</v>
      </c>
      <c r="Q337" s="328">
        <v>112300</v>
      </c>
      <c r="R337" s="301">
        <f t="shared" si="101"/>
        <v>203000</v>
      </c>
    </row>
    <row r="338" spans="1:18" s="323" customFormat="1">
      <c r="A338" s="326" t="s">
        <v>112</v>
      </c>
      <c r="B338" s="315">
        <v>0</v>
      </c>
      <c r="C338" s="315">
        <v>10000</v>
      </c>
      <c r="D338" s="315">
        <v>20000</v>
      </c>
      <c r="E338" s="315">
        <v>20000</v>
      </c>
      <c r="F338" s="210">
        <f t="shared" si="100"/>
        <v>50000</v>
      </c>
      <c r="G338" s="325"/>
      <c r="H338" s="325"/>
      <c r="I338" s="325"/>
      <c r="J338" s="322"/>
      <c r="K338" s="322"/>
      <c r="L338" s="322"/>
      <c r="M338" s="326" t="s">
        <v>112</v>
      </c>
      <c r="N338" s="299">
        <v>0</v>
      </c>
      <c r="O338" s="299">
        <v>400</v>
      </c>
      <c r="P338" s="299">
        <v>21500</v>
      </c>
      <c r="Q338" s="299">
        <v>21100</v>
      </c>
      <c r="R338" s="301">
        <f t="shared" si="101"/>
        <v>43000</v>
      </c>
    </row>
    <row r="339" spans="1:18" s="323" customFormat="1">
      <c r="A339" s="326" t="s">
        <v>113</v>
      </c>
      <c r="B339" s="315">
        <v>0</v>
      </c>
      <c r="C339" s="315">
        <v>15000</v>
      </c>
      <c r="D339" s="315">
        <v>19000</v>
      </c>
      <c r="E339" s="315">
        <v>0</v>
      </c>
      <c r="F339" s="210">
        <f t="shared" si="100"/>
        <v>34000</v>
      </c>
      <c r="G339" s="325"/>
      <c r="H339" s="325"/>
      <c r="I339" s="325"/>
      <c r="J339" s="322"/>
      <c r="K339" s="322"/>
      <c r="L339" s="322"/>
      <c r="M339" s="326" t="s">
        <v>113</v>
      </c>
      <c r="N339" s="299">
        <v>0</v>
      </c>
      <c r="O339" s="299">
        <v>13650</v>
      </c>
      <c r="P339" s="299">
        <v>16650</v>
      </c>
      <c r="Q339" s="299">
        <v>0</v>
      </c>
      <c r="R339" s="301">
        <f t="shared" si="101"/>
        <v>30300</v>
      </c>
    </row>
    <row r="340" spans="1:18" s="323" customFormat="1">
      <c r="A340" s="326" t="s">
        <v>114</v>
      </c>
      <c r="B340" s="315"/>
      <c r="C340" s="315">
        <v>15000</v>
      </c>
      <c r="D340" s="315">
        <v>26000</v>
      </c>
      <c r="E340" s="315">
        <v>30000</v>
      </c>
      <c r="F340" s="210">
        <f t="shared" si="100"/>
        <v>71000</v>
      </c>
      <c r="G340" s="325"/>
      <c r="H340" s="325"/>
      <c r="I340" s="325"/>
      <c r="J340" s="322"/>
      <c r="K340" s="322"/>
      <c r="L340" s="322"/>
      <c r="M340" s="326" t="s">
        <v>114</v>
      </c>
      <c r="N340" s="299">
        <v>0</v>
      </c>
      <c r="O340" s="299">
        <v>10000</v>
      </c>
      <c r="P340" s="299">
        <v>17333.333333333332</v>
      </c>
      <c r="Q340" s="299">
        <v>20000</v>
      </c>
      <c r="R340" s="301">
        <f t="shared" si="101"/>
        <v>47333.333333333328</v>
      </c>
    </row>
    <row r="341" spans="1:18" s="323" customFormat="1">
      <c r="A341" s="326" t="s">
        <v>115</v>
      </c>
      <c r="B341" s="315">
        <v>15000</v>
      </c>
      <c r="C341" s="315">
        <v>0</v>
      </c>
      <c r="D341" s="315">
        <v>10000</v>
      </c>
      <c r="E341" s="315">
        <v>15000</v>
      </c>
      <c r="F341" s="210">
        <f t="shared" si="100"/>
        <v>40000</v>
      </c>
      <c r="G341" s="325"/>
      <c r="H341" s="325"/>
      <c r="I341" s="325"/>
      <c r="J341" s="322"/>
      <c r="K341" s="322"/>
      <c r="L341" s="322"/>
      <c r="M341" s="326" t="s">
        <v>115</v>
      </c>
      <c r="N341" s="299">
        <v>15000</v>
      </c>
      <c r="O341" s="299">
        <v>0</v>
      </c>
      <c r="P341" s="299">
        <v>15000</v>
      </c>
      <c r="Q341" s="299">
        <v>15000</v>
      </c>
      <c r="R341" s="301">
        <f t="shared" si="101"/>
        <v>45000</v>
      </c>
    </row>
    <row r="342" spans="1:18" s="323" customFormat="1">
      <c r="A342" s="204" t="s">
        <v>116</v>
      </c>
      <c r="B342" s="215">
        <f>SUM(B336:B341)</f>
        <v>95000</v>
      </c>
      <c r="C342" s="215">
        <f t="shared" ref="C342:E342" si="102">SUM(C336:C341)</f>
        <v>135000</v>
      </c>
      <c r="D342" s="215">
        <f t="shared" si="102"/>
        <v>150000</v>
      </c>
      <c r="E342" s="215">
        <f t="shared" si="102"/>
        <v>325000</v>
      </c>
      <c r="F342" s="216">
        <f t="shared" si="100"/>
        <v>705000</v>
      </c>
      <c r="G342" s="325"/>
      <c r="H342" s="325"/>
      <c r="I342" s="325"/>
      <c r="J342" s="322"/>
      <c r="K342" s="322"/>
      <c r="L342" s="322"/>
      <c r="M342" s="204" t="s">
        <v>116</v>
      </c>
      <c r="N342" s="295">
        <f>SUM(N336:N341)</f>
        <v>101282.4</v>
      </c>
      <c r="O342" s="295">
        <f t="shared" ref="O342:Q342" si="103">SUM(O336:O341)</f>
        <v>99228</v>
      </c>
      <c r="P342" s="295">
        <f t="shared" si="103"/>
        <v>157525.33333333334</v>
      </c>
      <c r="Q342" s="295">
        <f t="shared" si="103"/>
        <v>230972</v>
      </c>
      <c r="R342" s="302">
        <f t="shared" si="101"/>
        <v>589007.7333333334</v>
      </c>
    </row>
    <row r="343" spans="1:18" s="323" customFormat="1">
      <c r="B343" s="322"/>
      <c r="C343" s="322"/>
      <c r="D343" s="322"/>
      <c r="E343" s="322"/>
      <c r="F343" s="322"/>
      <c r="G343" s="322"/>
      <c r="H343" s="322"/>
      <c r="I343" s="322"/>
      <c r="J343" s="322"/>
      <c r="K343" s="322"/>
      <c r="L343" s="322"/>
      <c r="M343" s="322"/>
      <c r="N343" s="322"/>
      <c r="O343" s="322"/>
    </row>
    <row r="346" spans="1:18" ht="22.5">
      <c r="A346" s="197" t="s">
        <v>125</v>
      </c>
    </row>
    <row r="347" spans="1:18" ht="17.5" customHeight="1">
      <c r="A347" s="232" t="s">
        <v>106</v>
      </c>
      <c r="B347" s="233">
        <v>45866</v>
      </c>
      <c r="C347" s="233">
        <v>45867</v>
      </c>
      <c r="D347" s="233">
        <v>45868</v>
      </c>
      <c r="E347" s="233">
        <v>45869</v>
      </c>
      <c r="F347" s="202" t="s">
        <v>107</v>
      </c>
      <c r="G347" s="468" t="s">
        <v>167</v>
      </c>
      <c r="K347" s="199"/>
      <c r="L347" s="199"/>
      <c r="M347" s="199"/>
      <c r="N347" s="199"/>
    </row>
    <row r="348" spans="1:18" ht="16" customHeight="1">
      <c r="A348" s="231" t="s">
        <v>108</v>
      </c>
      <c r="B348" s="205" t="s">
        <v>117</v>
      </c>
      <c r="C348" s="205" t="s">
        <v>117</v>
      </c>
      <c r="D348" s="205" t="s">
        <v>117</v>
      </c>
      <c r="E348" s="205" t="s">
        <v>117</v>
      </c>
      <c r="F348" s="206" t="s">
        <v>162</v>
      </c>
      <c r="G348" s="468"/>
      <c r="K348" s="199"/>
      <c r="L348" s="199"/>
      <c r="M348" s="199"/>
      <c r="N348" s="199"/>
    </row>
    <row r="349" spans="1:18" ht="17.5">
      <c r="A349" s="208" t="s">
        <v>110</v>
      </c>
      <c r="B349" s="315">
        <v>13</v>
      </c>
      <c r="C349" s="315">
        <v>14</v>
      </c>
      <c r="D349" s="315">
        <v>16</v>
      </c>
      <c r="E349" s="315">
        <v>18</v>
      </c>
      <c r="F349" s="210">
        <f t="shared" ref="F349:F354" si="104">SUM(B349:E349)</f>
        <v>61</v>
      </c>
      <c r="G349" s="219">
        <f>F349-F324</f>
        <v>21</v>
      </c>
      <c r="K349" s="199"/>
      <c r="L349" s="199"/>
      <c r="M349" s="199"/>
      <c r="N349" s="199"/>
    </row>
    <row r="350" spans="1:18" ht="17.5">
      <c r="A350" s="212" t="s">
        <v>111</v>
      </c>
      <c r="B350" s="315">
        <v>5</v>
      </c>
      <c r="C350" s="315">
        <v>8</v>
      </c>
      <c r="D350" s="315">
        <v>9</v>
      </c>
      <c r="E350" s="315">
        <v>20</v>
      </c>
      <c r="F350" s="210">
        <f t="shared" si="104"/>
        <v>42</v>
      </c>
      <c r="G350" s="219">
        <f t="shared" ref="G350:G355" si="105">F350-F325</f>
        <v>11</v>
      </c>
      <c r="K350" s="199"/>
      <c r="L350" s="199"/>
      <c r="M350" s="199"/>
      <c r="N350" s="199"/>
    </row>
    <row r="351" spans="1:18" ht="17.5">
      <c r="A351" s="212" t="s">
        <v>112</v>
      </c>
      <c r="B351" s="315"/>
      <c r="C351" s="315">
        <v>3</v>
      </c>
      <c r="D351" s="315">
        <v>5</v>
      </c>
      <c r="E351" s="315">
        <v>5</v>
      </c>
      <c r="F351" s="210">
        <f t="shared" si="104"/>
        <v>13</v>
      </c>
      <c r="G351" s="219">
        <f t="shared" si="105"/>
        <v>0</v>
      </c>
      <c r="K351" s="199"/>
      <c r="L351" s="199"/>
      <c r="M351" s="199"/>
      <c r="N351" s="199"/>
    </row>
    <row r="352" spans="1:18" ht="17.5">
      <c r="A352" s="212" t="s">
        <v>113</v>
      </c>
      <c r="B352" s="315" t="s">
        <v>126</v>
      </c>
      <c r="C352" s="315">
        <v>4</v>
      </c>
      <c r="D352" s="315">
        <v>5</v>
      </c>
      <c r="E352" s="315" t="s">
        <v>126</v>
      </c>
      <c r="F352" s="210">
        <f t="shared" si="104"/>
        <v>9</v>
      </c>
      <c r="G352" s="219">
        <f t="shared" si="105"/>
        <v>-7</v>
      </c>
      <c r="K352" s="199"/>
      <c r="L352" s="199"/>
      <c r="M352" s="199"/>
      <c r="N352" s="199"/>
    </row>
    <row r="353" spans="1:14" ht="17.5">
      <c r="A353" s="212" t="s">
        <v>114</v>
      </c>
      <c r="B353" s="315"/>
      <c r="C353" s="315">
        <v>4</v>
      </c>
      <c r="D353" s="315">
        <v>5</v>
      </c>
      <c r="E353" s="315">
        <v>6</v>
      </c>
      <c r="F353" s="210">
        <f t="shared" si="104"/>
        <v>15</v>
      </c>
      <c r="G353" s="219">
        <f t="shared" si="105"/>
        <v>-1</v>
      </c>
      <c r="K353" s="199"/>
      <c r="L353" s="199"/>
      <c r="M353" s="199"/>
      <c r="N353" s="199"/>
    </row>
    <row r="354" spans="1:14" ht="17.5">
      <c r="A354" s="212" t="s">
        <v>115</v>
      </c>
      <c r="B354" s="315">
        <v>4</v>
      </c>
      <c r="C354" s="315">
        <v>0</v>
      </c>
      <c r="D354" s="315">
        <v>5</v>
      </c>
      <c r="E354" s="315">
        <v>6</v>
      </c>
      <c r="F354" s="210">
        <f t="shared" si="104"/>
        <v>15</v>
      </c>
      <c r="G354" s="219">
        <f t="shared" si="105"/>
        <v>-7</v>
      </c>
      <c r="K354" s="199"/>
      <c r="L354" s="199"/>
      <c r="M354" s="199"/>
      <c r="N354" s="199"/>
    </row>
    <row r="355" spans="1:14" ht="17.5">
      <c r="A355" s="204" t="s">
        <v>116</v>
      </c>
      <c r="B355" s="215">
        <f>SUM(B349:B354)</f>
        <v>22</v>
      </c>
      <c r="C355" s="215">
        <f t="shared" ref="C355:F355" si="106">SUM(C349:C354)</f>
        <v>33</v>
      </c>
      <c r="D355" s="215">
        <f t="shared" si="106"/>
        <v>45</v>
      </c>
      <c r="E355" s="215">
        <f t="shared" si="106"/>
        <v>55</v>
      </c>
      <c r="F355" s="216">
        <f t="shared" si="106"/>
        <v>155</v>
      </c>
      <c r="G355" s="219">
        <f t="shared" si="105"/>
        <v>17</v>
      </c>
      <c r="K355" s="199"/>
      <c r="L355" s="199"/>
      <c r="M355" s="199"/>
      <c r="N355" s="199"/>
    </row>
    <row r="358" spans="1:14" ht="22.5">
      <c r="A358" s="197" t="s">
        <v>194</v>
      </c>
    </row>
    <row r="359" spans="1:14" ht="17.5" customHeight="1">
      <c r="A359" s="232" t="s">
        <v>106</v>
      </c>
      <c r="B359" s="233">
        <v>45866</v>
      </c>
      <c r="C359" s="233">
        <v>45867</v>
      </c>
      <c r="D359" s="233">
        <v>45868</v>
      </c>
      <c r="E359" s="233">
        <v>45869</v>
      </c>
      <c r="F359" s="202" t="s">
        <v>107</v>
      </c>
      <c r="G359" s="466" t="s">
        <v>130</v>
      </c>
      <c r="H359" s="199"/>
      <c r="I359" s="466" t="s">
        <v>131</v>
      </c>
      <c r="K359" s="199"/>
      <c r="L359" s="199"/>
      <c r="M359" s="199"/>
      <c r="N359" s="199"/>
    </row>
    <row r="360" spans="1:14" ht="16" customHeight="1">
      <c r="A360" s="231" t="s">
        <v>108</v>
      </c>
      <c r="B360" s="205" t="s">
        <v>117</v>
      </c>
      <c r="C360" s="205" t="s">
        <v>117</v>
      </c>
      <c r="D360" s="205" t="s">
        <v>117</v>
      </c>
      <c r="E360" s="205" t="s">
        <v>117</v>
      </c>
      <c r="F360" s="206" t="s">
        <v>162</v>
      </c>
      <c r="G360" s="466"/>
      <c r="H360" s="199"/>
      <c r="I360" s="466"/>
      <c r="K360" s="199"/>
      <c r="L360" s="199"/>
      <c r="M360" s="199"/>
      <c r="N360" s="199"/>
    </row>
    <row r="361" spans="1:14" ht="17.5">
      <c r="A361" s="208" t="s">
        <v>110</v>
      </c>
      <c r="B361" s="314">
        <v>15</v>
      </c>
      <c r="C361" s="314">
        <v>6</v>
      </c>
      <c r="D361" s="314">
        <v>9</v>
      </c>
      <c r="E361" s="314">
        <v>2</v>
      </c>
      <c r="F361" s="210">
        <f t="shared" ref="F361:F366" si="107">SUM(B361:E361)</f>
        <v>32</v>
      </c>
      <c r="G361" s="219">
        <f>F361-F349</f>
        <v>-29</v>
      </c>
      <c r="I361" s="219">
        <f>F361-F324</f>
        <v>-8</v>
      </c>
      <c r="K361" s="199"/>
      <c r="L361" s="199"/>
      <c r="M361" s="199"/>
      <c r="N361" s="199"/>
    </row>
    <row r="362" spans="1:14" ht="17.5">
      <c r="A362" s="212" t="s">
        <v>111</v>
      </c>
      <c r="B362" s="315"/>
      <c r="C362" s="315"/>
      <c r="D362" s="315"/>
      <c r="E362" s="315"/>
      <c r="F362" s="210">
        <f t="shared" si="107"/>
        <v>0</v>
      </c>
      <c r="G362" s="219">
        <f t="shared" ref="G362:G367" si="108">F362-F350</f>
        <v>-42</v>
      </c>
      <c r="I362" s="219">
        <f t="shared" ref="I362:I367" si="109">F362-F325</f>
        <v>-31</v>
      </c>
      <c r="K362" s="199"/>
      <c r="L362" s="199"/>
      <c r="M362" s="199"/>
      <c r="N362" s="199"/>
    </row>
    <row r="363" spans="1:14" ht="17.5">
      <c r="A363" s="212" t="s">
        <v>112</v>
      </c>
      <c r="B363" s="315"/>
      <c r="C363" s="315"/>
      <c r="D363" s="315">
        <v>1</v>
      </c>
      <c r="E363" s="315"/>
      <c r="F363" s="210">
        <f t="shared" si="107"/>
        <v>1</v>
      </c>
      <c r="G363" s="219">
        <f t="shared" si="108"/>
        <v>-12</v>
      </c>
      <c r="I363" s="219">
        <f t="shared" si="109"/>
        <v>-12</v>
      </c>
      <c r="K363" s="199"/>
      <c r="L363" s="199"/>
      <c r="M363" s="199"/>
      <c r="N363" s="199"/>
    </row>
    <row r="364" spans="1:14" ht="17.5">
      <c r="A364" s="212" t="s">
        <v>113</v>
      </c>
      <c r="B364" s="315"/>
      <c r="C364" s="315"/>
      <c r="D364" s="315"/>
      <c r="E364" s="315"/>
      <c r="F364" s="210">
        <f t="shared" si="107"/>
        <v>0</v>
      </c>
      <c r="G364" s="219">
        <f t="shared" si="108"/>
        <v>-9</v>
      </c>
      <c r="I364" s="219">
        <f t="shared" si="109"/>
        <v>-16</v>
      </c>
      <c r="K364" s="199"/>
      <c r="L364" s="199"/>
      <c r="M364" s="199"/>
      <c r="N364" s="199"/>
    </row>
    <row r="365" spans="1:14" ht="17.5">
      <c r="A365" s="212" t="s">
        <v>114</v>
      </c>
      <c r="B365" s="315"/>
      <c r="C365" s="315"/>
      <c r="D365" s="315">
        <v>1</v>
      </c>
      <c r="E365" s="315"/>
      <c r="F365" s="210">
        <f t="shared" si="107"/>
        <v>1</v>
      </c>
      <c r="G365" s="219">
        <f t="shared" si="108"/>
        <v>-14</v>
      </c>
      <c r="I365" s="219">
        <f t="shared" si="109"/>
        <v>-15</v>
      </c>
      <c r="K365" s="199"/>
      <c r="L365" s="199"/>
      <c r="M365" s="199"/>
      <c r="N365" s="199"/>
    </row>
    <row r="366" spans="1:14" ht="17.5">
      <c r="A366" s="212" t="s">
        <v>115</v>
      </c>
      <c r="B366" s="315"/>
      <c r="C366" s="315"/>
      <c r="D366" s="315"/>
      <c r="E366" s="315"/>
      <c r="F366" s="210">
        <f t="shared" si="107"/>
        <v>0</v>
      </c>
      <c r="G366" s="219">
        <f t="shared" si="108"/>
        <v>-15</v>
      </c>
      <c r="I366" s="219">
        <f t="shared" si="109"/>
        <v>-22</v>
      </c>
      <c r="K366" s="199"/>
      <c r="L366" s="199"/>
      <c r="M366" s="199"/>
      <c r="N366" s="199"/>
    </row>
    <row r="367" spans="1:14" ht="17.5">
      <c r="A367" s="204" t="s">
        <v>116</v>
      </c>
      <c r="B367" s="215">
        <f>SUM(B361:B366)</f>
        <v>15</v>
      </c>
      <c r="C367" s="215">
        <f t="shared" ref="C367:F367" si="110">SUM(C361:C366)</f>
        <v>6</v>
      </c>
      <c r="D367" s="215">
        <f t="shared" si="110"/>
        <v>11</v>
      </c>
      <c r="E367" s="215">
        <f t="shared" si="110"/>
        <v>2</v>
      </c>
      <c r="F367" s="216">
        <f t="shared" si="110"/>
        <v>34</v>
      </c>
      <c r="G367" s="219">
        <f t="shared" si="108"/>
        <v>-121</v>
      </c>
      <c r="I367" s="219">
        <f t="shared" si="109"/>
        <v>-104</v>
      </c>
      <c r="K367" s="199"/>
      <c r="L367" s="199"/>
      <c r="M367" s="199"/>
      <c r="N367" s="199"/>
    </row>
  </sheetData>
  <mergeCells count="26">
    <mergeCell ref="K62:K63"/>
    <mergeCell ref="L283:L284"/>
    <mergeCell ref="U62:U63"/>
    <mergeCell ref="J138:J139"/>
    <mergeCell ref="L127:L128"/>
    <mergeCell ref="J206:J207"/>
    <mergeCell ref="L206:L207"/>
    <mergeCell ref="K138:K139"/>
    <mergeCell ref="J218:J219"/>
    <mergeCell ref="K218:K219"/>
    <mergeCell ref="V62:V63"/>
    <mergeCell ref="W62:W63"/>
    <mergeCell ref="G359:G360"/>
    <mergeCell ref="I26:I27"/>
    <mergeCell ref="I38:I39"/>
    <mergeCell ref="I359:I360"/>
    <mergeCell ref="J62:J63"/>
    <mergeCell ref="K50:K51"/>
    <mergeCell ref="J192:J193"/>
    <mergeCell ref="J270:J271"/>
    <mergeCell ref="G347:G348"/>
    <mergeCell ref="I50:I51"/>
    <mergeCell ref="J127:J128"/>
    <mergeCell ref="J116:J117"/>
    <mergeCell ref="I62:I63"/>
    <mergeCell ref="J283:J284"/>
  </mergeCells>
  <phoneticPr fontId="2" type="noConversion"/>
  <pageMargins left="0.7" right="0.7" top="0.75" bottom="0.75" header="0.3" footer="0.3"/>
  <headerFooter>
    <oddFooter>&amp;C_x000D_&amp;1#&amp;"arial"&amp;9&amp;K008000 C1 -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826E-8C61-4AFD-B8AE-887B4B9B73CC}">
  <dimension ref="A2:U13"/>
  <sheetViews>
    <sheetView zoomScale="82" zoomScaleNormal="82" workbookViewId="0">
      <selection activeCell="N19" sqref="N19"/>
    </sheetView>
  </sheetViews>
  <sheetFormatPr defaultRowHeight="12.5"/>
  <cols>
    <col min="1" max="1" width="16.9140625" style="353" customWidth="1"/>
    <col min="2" max="2" width="10.08203125" style="354" customWidth="1"/>
    <col min="3" max="3" width="10" style="354" customWidth="1"/>
    <col min="4" max="4" width="6.9140625" style="355" customWidth="1"/>
    <col min="5" max="5" width="6.1640625" style="353" customWidth="1"/>
    <col min="6" max="6" width="8.9140625" style="353" customWidth="1"/>
    <col min="7" max="7" width="10.08203125" style="353" customWidth="1"/>
    <col min="8" max="8" width="9.83203125" style="353" customWidth="1"/>
    <col min="9" max="9" width="6.83203125" style="353" customWidth="1"/>
    <col min="10" max="10" width="6" style="353" customWidth="1"/>
    <col min="11" max="11" width="8.83203125" style="353" customWidth="1"/>
    <col min="12" max="12" width="9.83203125" style="353" customWidth="1"/>
    <col min="13" max="13" width="9.08203125" style="353" customWidth="1"/>
    <col min="14" max="14" width="5.9140625" style="353" customWidth="1"/>
    <col min="15" max="15" width="6.75" style="353" customWidth="1"/>
    <col min="16" max="16" width="8.4140625" style="353" customWidth="1"/>
    <col min="17" max="17" width="9.9140625" style="353" customWidth="1"/>
    <col min="18" max="18" width="10.1640625" style="353" customWidth="1"/>
    <col min="19" max="19" width="6.5" style="353" customWidth="1"/>
    <col min="20" max="20" width="6.9140625" style="353" customWidth="1"/>
    <col min="21" max="21" width="10.25" style="353" customWidth="1"/>
    <col min="22" max="16384" width="8.6640625" style="353"/>
  </cols>
  <sheetData>
    <row r="2" spans="1:21" ht="13">
      <c r="A2" s="357" t="s">
        <v>106</v>
      </c>
      <c r="B2" s="469" t="s">
        <v>185</v>
      </c>
      <c r="C2" s="470"/>
      <c r="D2" s="470"/>
      <c r="E2" s="470"/>
      <c r="F2" s="471"/>
      <c r="G2" s="470" t="s">
        <v>186</v>
      </c>
      <c r="H2" s="470"/>
      <c r="I2" s="470"/>
      <c r="J2" s="470"/>
      <c r="K2" s="471"/>
      <c r="L2" s="470" t="s">
        <v>195</v>
      </c>
      <c r="M2" s="470"/>
      <c r="N2" s="470"/>
      <c r="O2" s="470"/>
      <c r="P2" s="471"/>
      <c r="Q2" s="470" t="s">
        <v>196</v>
      </c>
      <c r="R2" s="470"/>
      <c r="S2" s="470"/>
      <c r="T2" s="470"/>
      <c r="U2" s="471"/>
    </row>
    <row r="3" spans="1:21" s="389" customFormat="1" ht="39">
      <c r="A3" s="387" t="s">
        <v>108</v>
      </c>
      <c r="B3" s="366" t="s">
        <v>187</v>
      </c>
      <c r="C3" s="367" t="s">
        <v>188</v>
      </c>
      <c r="D3" s="365" t="s">
        <v>180</v>
      </c>
      <c r="E3" s="365" t="s">
        <v>181</v>
      </c>
      <c r="F3" s="388" t="s">
        <v>189</v>
      </c>
      <c r="G3" s="367" t="s">
        <v>187</v>
      </c>
      <c r="H3" s="367" t="s">
        <v>188</v>
      </c>
      <c r="I3" s="365" t="s">
        <v>180</v>
      </c>
      <c r="J3" s="365" t="s">
        <v>181</v>
      </c>
      <c r="K3" s="388" t="s">
        <v>189</v>
      </c>
      <c r="L3" s="367" t="s">
        <v>187</v>
      </c>
      <c r="M3" s="367" t="s">
        <v>188</v>
      </c>
      <c r="N3" s="365" t="s">
        <v>180</v>
      </c>
      <c r="O3" s="365" t="s">
        <v>181</v>
      </c>
      <c r="P3" s="388" t="s">
        <v>189</v>
      </c>
      <c r="Q3" s="367" t="s">
        <v>187</v>
      </c>
      <c r="R3" s="367" t="s">
        <v>188</v>
      </c>
      <c r="S3" s="365" t="s">
        <v>180</v>
      </c>
      <c r="T3" s="365" t="s">
        <v>190</v>
      </c>
      <c r="U3" s="388" t="s">
        <v>189</v>
      </c>
    </row>
    <row r="4" spans="1:21">
      <c r="A4" s="368" t="s">
        <v>110</v>
      </c>
      <c r="B4" s="369">
        <v>453686.77000000008</v>
      </c>
      <c r="C4" s="370">
        <f>'7月邀约追踪'!H64</f>
        <v>358171.38999999996</v>
      </c>
      <c r="D4" s="405">
        <f>C4/B4-1</f>
        <v>-0.21053155241886401</v>
      </c>
      <c r="E4" s="411">
        <f>C4/'7月邀约追踪'!H28</f>
        <v>0.53860359398496238</v>
      </c>
      <c r="F4" s="390">
        <f>C4-'7月邀约追踪'!H28</f>
        <v>-306828.61000000004</v>
      </c>
      <c r="G4" s="370">
        <v>690774.93000000017</v>
      </c>
      <c r="H4" s="426">
        <f>'7月邀约追踪'!I140</f>
        <v>456953.33999999997</v>
      </c>
      <c r="I4" s="427">
        <f>H4/G4-1</f>
        <v>-0.33849171393640498</v>
      </c>
      <c r="J4" s="428">
        <f>H4/'7月邀约追踪'!I105</f>
        <v>0.90485809900990088</v>
      </c>
      <c r="K4" s="429">
        <f>H4-'7月邀约追踪'!I105</f>
        <v>-48046.660000000033</v>
      </c>
      <c r="L4" s="426">
        <f>'7月邀约追踪'!I157</f>
        <v>675415.57999999984</v>
      </c>
      <c r="M4" s="434">
        <f>'7月邀约追踪'!I220</f>
        <v>790204.68999999983</v>
      </c>
      <c r="N4" s="432">
        <f>M4/L4-1</f>
        <v>0.16995330489711247</v>
      </c>
      <c r="O4" s="435">
        <f>M4/'7月邀约追踪'!I182</f>
        <v>0.92965257647058808</v>
      </c>
      <c r="P4" s="429">
        <f>'7月邀约追踪'!J220</f>
        <v>-59795.310000000172</v>
      </c>
      <c r="Q4" s="370">
        <f>B4+G4+L4</f>
        <v>1819877.28</v>
      </c>
      <c r="R4" s="370">
        <f>C4+H4+M4</f>
        <v>1605329.42</v>
      </c>
      <c r="S4" s="405">
        <f>R4/Q4-1</f>
        <v>-0.11789138880837069</v>
      </c>
      <c r="T4" s="403">
        <f>R4/('7月邀约追踪'!H28+'7月邀约追踪'!I105+'7月邀约追踪'!I182)</f>
        <v>0.79471753465346529</v>
      </c>
      <c r="U4" s="390">
        <f>K4+F4+P4</f>
        <v>-414670.58000000025</v>
      </c>
    </row>
    <row r="5" spans="1:21">
      <c r="A5" s="359" t="s">
        <v>111</v>
      </c>
      <c r="B5" s="371">
        <v>350889.71</v>
      </c>
      <c r="C5" s="372">
        <f>'7月邀约追踪'!H65</f>
        <v>523062.63999999996</v>
      </c>
      <c r="D5" s="373">
        <f t="shared" ref="D5:D13" si="0">C5/B5-1</f>
        <v>0.49067534639303023</v>
      </c>
      <c r="E5" s="412"/>
      <c r="F5" s="391"/>
      <c r="G5" s="372">
        <v>462762.3000000001</v>
      </c>
      <c r="H5" s="372">
        <f>'7月邀约追踪'!I141</f>
        <v>486676.21000000008</v>
      </c>
      <c r="I5" s="373">
        <f t="shared" ref="I5:I13" si="1">H5/G5-1</f>
        <v>5.1676443824399731E-2</v>
      </c>
      <c r="J5" s="412"/>
      <c r="K5" s="374"/>
      <c r="L5" s="372">
        <f>'7月邀约追踪'!I158</f>
        <v>316471.26</v>
      </c>
      <c r="M5" s="425">
        <f>'7月邀约追踪'!I221</f>
        <v>287320.49000000005</v>
      </c>
      <c r="N5" s="406">
        <f t="shared" ref="N5:N13" si="2">M5/L5-1</f>
        <v>-9.2111902989231775E-2</v>
      </c>
      <c r="O5" s="415"/>
      <c r="P5" s="391">
        <f>'7月邀约追踪'!J221</f>
        <v>-57679.509999999951</v>
      </c>
      <c r="Q5" s="372">
        <f t="shared" ref="Q5:R13" si="3">B5+G5+L5</f>
        <v>1130123.27</v>
      </c>
      <c r="R5" s="372">
        <f t="shared" si="3"/>
        <v>1297059.3400000001</v>
      </c>
      <c r="S5" s="373">
        <f t="shared" ref="S5:S12" si="4">R5/Q5-1</f>
        <v>0.14771492139968068</v>
      </c>
      <c r="T5" s="375"/>
      <c r="U5" s="391">
        <f t="shared" ref="U5:U13" si="5">K5+F5+P5</f>
        <v>-57679.509999999951</v>
      </c>
    </row>
    <row r="6" spans="1:21" s="356" customFormat="1" ht="11.5">
      <c r="A6" s="360" t="s">
        <v>173</v>
      </c>
      <c r="B6" s="376">
        <v>154888.76</v>
      </c>
      <c r="C6" s="377">
        <v>134159.79999999999</v>
      </c>
      <c r="D6" s="378">
        <f t="shared" si="0"/>
        <v>-0.13383127348943857</v>
      </c>
      <c r="E6" s="413"/>
      <c r="F6" s="392"/>
      <c r="G6" s="377">
        <v>134178.62</v>
      </c>
      <c r="H6" s="377">
        <v>204156.269999999</v>
      </c>
      <c r="I6" s="378">
        <f t="shared" si="1"/>
        <v>0.52152608217314356</v>
      </c>
      <c r="J6" s="413"/>
      <c r="K6" s="379"/>
      <c r="L6" s="377">
        <v>90319.399999999907</v>
      </c>
      <c r="M6" s="440">
        <v>130847.02</v>
      </c>
      <c r="N6" s="378"/>
      <c r="O6" s="413"/>
      <c r="P6" s="379"/>
      <c r="Q6" s="377">
        <f t="shared" si="3"/>
        <v>379386.77999999991</v>
      </c>
      <c r="R6" s="377">
        <f t="shared" si="3"/>
        <v>469163.08999999904</v>
      </c>
      <c r="S6" s="378">
        <f t="shared" si="4"/>
        <v>0.23663531449356023</v>
      </c>
      <c r="T6" s="380"/>
      <c r="U6" s="392">
        <f t="shared" si="5"/>
        <v>0</v>
      </c>
    </row>
    <row r="7" spans="1:21" ht="13">
      <c r="A7" s="395" t="s">
        <v>182</v>
      </c>
      <c r="B7" s="396">
        <f>B5-B6</f>
        <v>196000.95</v>
      </c>
      <c r="C7" s="397">
        <f>C5-C6</f>
        <v>388902.83999999997</v>
      </c>
      <c r="D7" s="400">
        <f t="shared" si="0"/>
        <v>0.98418854602490424</v>
      </c>
      <c r="E7" s="418">
        <f>C7/'7月邀约追踪'!H29</f>
        <v>1.690881913043478</v>
      </c>
      <c r="F7" s="398">
        <f>C7-'7月邀约追踪'!H29</f>
        <v>158902.83999999997</v>
      </c>
      <c r="G7" s="397">
        <f>G5-G6</f>
        <v>328583.68000000011</v>
      </c>
      <c r="H7" s="397">
        <f>H5-H6</f>
        <v>282519.94000000111</v>
      </c>
      <c r="I7" s="410">
        <f t="shared" si="1"/>
        <v>-0.14018876409199321</v>
      </c>
      <c r="J7" s="414">
        <f>H7/'7月邀约追踪'!I106</f>
        <v>0.62092294505494749</v>
      </c>
      <c r="K7" s="399">
        <f>H7-'7月邀约追踪'!I106</f>
        <v>-172480.05999999889</v>
      </c>
      <c r="L7" s="430">
        <f>L5-L6</f>
        <v>226151.8600000001</v>
      </c>
      <c r="M7" s="430">
        <f>M5-M6</f>
        <v>156473.47000000003</v>
      </c>
      <c r="N7" s="410">
        <f t="shared" si="2"/>
        <v>-0.30810443035931712</v>
      </c>
      <c r="O7" s="414">
        <f>M7/'7月邀约追踪'!I183</f>
        <v>0.45354628985507256</v>
      </c>
      <c r="P7" s="399">
        <f>'7月邀约追踪'!J221</f>
        <v>-57679.509999999951</v>
      </c>
      <c r="Q7" s="397">
        <f t="shared" si="3"/>
        <v>750736.49000000022</v>
      </c>
      <c r="R7" s="397">
        <f t="shared" si="3"/>
        <v>827896.25000000116</v>
      </c>
      <c r="S7" s="400">
        <f t="shared" si="4"/>
        <v>0.10277875263529679</v>
      </c>
      <c r="T7" s="439">
        <f>R7/('7月邀约追踪'!H29+'7月邀约追踪'!I106+'7月邀约追踪'!I183)</f>
        <v>0.80378276699029239</v>
      </c>
      <c r="U7" s="398">
        <f t="shared" si="5"/>
        <v>-71256.729999998875</v>
      </c>
    </row>
    <row r="8" spans="1:21">
      <c r="A8" s="359" t="s">
        <v>112</v>
      </c>
      <c r="B8" s="371">
        <v>46329.179999999993</v>
      </c>
      <c r="C8" s="372">
        <f>'7月邀约追踪'!H66</f>
        <v>106311.93</v>
      </c>
      <c r="D8" s="401">
        <f t="shared" si="0"/>
        <v>1.2947077845970942</v>
      </c>
      <c r="E8" s="415">
        <f>C8/'7月邀约追踪'!H30</f>
        <v>0.75398531914893607</v>
      </c>
      <c r="F8" s="391">
        <f>C8-'7月邀约追踪'!H30</f>
        <v>-34688.070000000007</v>
      </c>
      <c r="G8" s="372">
        <v>177740.58</v>
      </c>
      <c r="H8" s="372">
        <f>'7月邀约追踪'!I142</f>
        <v>151755.47</v>
      </c>
      <c r="I8" s="406">
        <f t="shared" si="1"/>
        <v>-0.14619683360997238</v>
      </c>
      <c r="J8" s="415">
        <f>H8/'7月邀约追踪'!I107</f>
        <v>0.70257162037037035</v>
      </c>
      <c r="K8" s="381">
        <f>H8-'7月邀约追踪'!I107</f>
        <v>-64244.53</v>
      </c>
      <c r="L8" s="372">
        <f>'7月邀约追踪'!I159</f>
        <v>80873.080000000016</v>
      </c>
      <c r="M8" s="431">
        <f>'7月邀约追踪'!I222</f>
        <v>100087.84</v>
      </c>
      <c r="N8" s="401">
        <f t="shared" si="2"/>
        <v>0.23759154467716548</v>
      </c>
      <c r="O8" s="419">
        <f>M8/'7月邀约追踪'!I184</f>
        <v>0.70984283687943261</v>
      </c>
      <c r="P8" s="381">
        <f>'7月邀约追踪'!J222</f>
        <v>-40912.160000000003</v>
      </c>
      <c r="Q8" s="372">
        <f t="shared" si="3"/>
        <v>304942.83999999997</v>
      </c>
      <c r="R8" s="372">
        <f t="shared" si="3"/>
        <v>358155.24</v>
      </c>
      <c r="S8" s="401">
        <f t="shared" si="4"/>
        <v>0.17449958818511702</v>
      </c>
      <c r="T8" s="404">
        <f>R8/('7月邀约追踪'!H30+'7月邀约追踪'!I107+'7月邀约追踪'!I184)</f>
        <v>0.71918722891566267</v>
      </c>
      <c r="U8" s="391">
        <f t="shared" si="5"/>
        <v>-139844.76</v>
      </c>
    </row>
    <row r="9" spans="1:21">
      <c r="A9" s="359" t="s">
        <v>113</v>
      </c>
      <c r="B9" s="371">
        <v>72327.14</v>
      </c>
      <c r="C9" s="372">
        <f>'7月邀约追踪'!H67</f>
        <v>121587.25</v>
      </c>
      <c r="D9" s="401">
        <f t="shared" si="0"/>
        <v>0.68107366059269037</v>
      </c>
      <c r="E9" s="419">
        <f>C9/'7月邀约追踪'!H31</f>
        <v>1.2281540404040403</v>
      </c>
      <c r="F9" s="391">
        <f>C9-'7月邀约追踪'!H31</f>
        <v>22587.25</v>
      </c>
      <c r="G9" s="372">
        <v>146327.75999999998</v>
      </c>
      <c r="H9" s="372">
        <f>'7月邀约追踪'!I143</f>
        <v>73633.7</v>
      </c>
      <c r="I9" s="406">
        <f t="shared" si="1"/>
        <v>-0.49678926267989065</v>
      </c>
      <c r="J9" s="415">
        <f>H9/'7月邀约追踪'!I108</f>
        <v>0.76701770833333327</v>
      </c>
      <c r="K9" s="381">
        <f>H9-'7月邀约追踪'!I108</f>
        <v>-22366.300000000003</v>
      </c>
      <c r="L9" s="372">
        <f>'7月邀约追踪'!I160</f>
        <v>89054.06</v>
      </c>
      <c r="M9" s="431">
        <f>'7月邀约追踪'!I223</f>
        <v>226689.84999999989</v>
      </c>
      <c r="N9" s="401">
        <f t="shared" si="2"/>
        <v>1.5455307708598562</v>
      </c>
      <c r="O9" s="419">
        <f>M9/'7月邀约追踪'!I185</f>
        <v>1.105804146341463</v>
      </c>
      <c r="P9" s="381">
        <f>'7月邀约追踪'!J223</f>
        <v>21689.849999999889</v>
      </c>
      <c r="Q9" s="372">
        <f t="shared" si="3"/>
        <v>307708.95999999996</v>
      </c>
      <c r="R9" s="372">
        <f t="shared" si="3"/>
        <v>421910.79999999993</v>
      </c>
      <c r="S9" s="401">
        <f t="shared" si="4"/>
        <v>0.37113589412540993</v>
      </c>
      <c r="T9" s="402">
        <f>R9/('7月邀约追踪'!H31+'7月邀约追踪'!I108+'7月邀约追踪'!I185)</f>
        <v>1.0547769999999999</v>
      </c>
      <c r="U9" s="391">
        <f t="shared" si="5"/>
        <v>21910.799999999886</v>
      </c>
    </row>
    <row r="10" spans="1:21">
      <c r="A10" s="359" t="s">
        <v>114</v>
      </c>
      <c r="B10" s="371">
        <v>259532.58000000002</v>
      </c>
      <c r="C10" s="372">
        <f>'7月邀约追踪'!H68</f>
        <v>189849.53999999998</v>
      </c>
      <c r="D10" s="406">
        <f t="shared" si="0"/>
        <v>-0.26849438324853103</v>
      </c>
      <c r="E10" s="415">
        <f>C10/'7月邀约追踪'!H32</f>
        <v>0.55028852173913034</v>
      </c>
      <c r="F10" s="391">
        <f>C10-'7月邀约追踪'!H32</f>
        <v>-155150.46000000002</v>
      </c>
      <c r="G10" s="372">
        <v>221572.17000000004</v>
      </c>
      <c r="H10" s="372">
        <f>'7月邀约追踪'!I144</f>
        <v>340967.28</v>
      </c>
      <c r="I10" s="401">
        <f t="shared" si="1"/>
        <v>0.53885427037159017</v>
      </c>
      <c r="J10" s="415">
        <f>H10/'7月邀约追踪'!I109</f>
        <v>0.69302292682926836</v>
      </c>
      <c r="K10" s="381">
        <f>H10-'7月邀约追踪'!I109</f>
        <v>-151032.71999999997</v>
      </c>
      <c r="L10" s="372">
        <f>'7月邀约追踪'!I161</f>
        <v>143858.90999999997</v>
      </c>
      <c r="M10" s="431">
        <f>'7月邀约追踪'!I224</f>
        <v>197998.59999999992</v>
      </c>
      <c r="N10" s="401">
        <f t="shared" si="2"/>
        <v>0.37633880306753298</v>
      </c>
      <c r="O10" s="419">
        <f>M10/'7月邀约追踪'!I186</f>
        <v>0.7199949090909088</v>
      </c>
      <c r="P10" s="381">
        <f>'7月邀约追踪'!J224</f>
        <v>-77001.400000000081</v>
      </c>
      <c r="Q10" s="372">
        <f t="shared" si="3"/>
        <v>624963.66</v>
      </c>
      <c r="R10" s="372">
        <f t="shared" si="3"/>
        <v>728815.41999999993</v>
      </c>
      <c r="S10" s="401">
        <f t="shared" si="4"/>
        <v>0.16617247793255663</v>
      </c>
      <c r="T10" s="404">
        <f>R10/('7月邀约追踪'!H32+'7月邀约追踪'!I109+'7月邀约追踪'!I186)</f>
        <v>0.65540955035971216</v>
      </c>
      <c r="U10" s="391">
        <f t="shared" si="5"/>
        <v>-383184.58000000007</v>
      </c>
    </row>
    <row r="11" spans="1:21">
      <c r="A11" s="359" t="s">
        <v>115</v>
      </c>
      <c r="B11" s="371">
        <v>176843.41000000003</v>
      </c>
      <c r="C11" s="372">
        <f>'7月邀约追踪'!H69</f>
        <v>85571.55</v>
      </c>
      <c r="D11" s="406">
        <f t="shared" si="0"/>
        <v>-0.51611682900708611</v>
      </c>
      <c r="E11" s="415">
        <f>C11/'7月邀约追踪'!H33</f>
        <v>1.0067241176470589</v>
      </c>
      <c r="F11" s="391">
        <f>C11-'7月邀约追踪'!H33</f>
        <v>571.55000000000291</v>
      </c>
      <c r="G11" s="372">
        <v>57522.990000000005</v>
      </c>
      <c r="H11" s="372">
        <f>'7月邀约追踪'!I145</f>
        <v>75821.279999999999</v>
      </c>
      <c r="I11" s="401">
        <f t="shared" si="1"/>
        <v>0.31810394417953569</v>
      </c>
      <c r="J11" s="415">
        <f>H11/'7月邀约追踪'!I110</f>
        <v>0.63184399999999996</v>
      </c>
      <c r="K11" s="381">
        <f>H11-'7月邀约追踪'!I110</f>
        <v>-44178.720000000001</v>
      </c>
      <c r="L11" s="372">
        <f>'7月邀约追踪'!I162</f>
        <v>120798.08000000002</v>
      </c>
      <c r="M11" s="431">
        <f>'7月邀约追踪'!I225</f>
        <v>51590.64</v>
      </c>
      <c r="N11" s="406">
        <f t="shared" si="2"/>
        <v>-0.57291837751063601</v>
      </c>
      <c r="O11" s="419">
        <f>M11/'7月邀约追踪'!I187</f>
        <v>0.60694870588235295</v>
      </c>
      <c r="P11" s="381">
        <f>'7月邀约追踪'!J225</f>
        <v>-33409.360000000001</v>
      </c>
      <c r="Q11" s="372">
        <f t="shared" si="3"/>
        <v>355164.48000000004</v>
      </c>
      <c r="R11" s="372">
        <f t="shared" si="3"/>
        <v>212983.47000000003</v>
      </c>
      <c r="S11" s="406">
        <f t="shared" si="4"/>
        <v>-0.40032440744074405</v>
      </c>
      <c r="T11" s="404">
        <f>R11/('7月邀约追踪'!H33+'7月邀约追踪'!I110+'7月邀约追踪'!I187)</f>
        <v>0.73442575862068971</v>
      </c>
      <c r="U11" s="391">
        <f t="shared" si="5"/>
        <v>-77016.53</v>
      </c>
    </row>
    <row r="12" spans="1:21" ht="13">
      <c r="A12" s="358" t="s">
        <v>183</v>
      </c>
      <c r="B12" s="382">
        <f>B4+B5+B8+B9+B10+B11</f>
        <v>1359608.79</v>
      </c>
      <c r="C12" s="383">
        <f>C4+C5+C8+C9+C10+C11</f>
        <v>1384554.3</v>
      </c>
      <c r="D12" s="384">
        <f t="shared" si="0"/>
        <v>1.8347564522585902E-2</v>
      </c>
      <c r="E12" s="416"/>
      <c r="F12" s="393"/>
      <c r="G12" s="383">
        <f>G4+G5+G8+G9+G10+G11</f>
        <v>1756700.7300000002</v>
      </c>
      <c r="H12" s="383">
        <f>H4+H5+H8+H9+H10+H11</f>
        <v>1585807.28</v>
      </c>
      <c r="I12" s="384">
        <f t="shared" si="1"/>
        <v>-9.7280912497827776E-2</v>
      </c>
      <c r="J12" s="416"/>
      <c r="K12" s="385"/>
      <c r="L12" s="383">
        <f>L4+L5+L8+L9+L10+L11</f>
        <v>1426470.97</v>
      </c>
      <c r="M12" s="383">
        <f>M4+M5+M8+M9+M10+M11</f>
        <v>1653892.1099999996</v>
      </c>
      <c r="N12" s="433">
        <f t="shared" si="2"/>
        <v>0.15942921011564626</v>
      </c>
      <c r="O12" s="436"/>
      <c r="P12" s="438">
        <f>'7月邀约追踪'!J226</f>
        <v>-247107.89000000013</v>
      </c>
      <c r="Q12" s="383">
        <f t="shared" si="3"/>
        <v>4542780.49</v>
      </c>
      <c r="R12" s="383">
        <f t="shared" si="3"/>
        <v>4624253.6899999995</v>
      </c>
      <c r="S12" s="433">
        <f t="shared" si="4"/>
        <v>1.7934654817538753E-2</v>
      </c>
      <c r="T12" s="386"/>
      <c r="U12" s="393">
        <f t="shared" si="5"/>
        <v>-247107.89000000013</v>
      </c>
    </row>
    <row r="13" spans="1:21" ht="13">
      <c r="A13" s="361" t="s">
        <v>184</v>
      </c>
      <c r="B13" s="362">
        <f>B12-B6</f>
        <v>1204720.03</v>
      </c>
      <c r="C13" s="363">
        <f>C4+C7+C8+C9+C10+C11</f>
        <v>1250394.5</v>
      </c>
      <c r="D13" s="409">
        <f t="shared" si="0"/>
        <v>3.7912933181662112E-2</v>
      </c>
      <c r="E13" s="417">
        <f>C13/'7月邀约追踪'!H34</f>
        <v>0.79897412140575075</v>
      </c>
      <c r="F13" s="394">
        <f>C13-'7月邀约追踪'!H34</f>
        <v>-314605.5</v>
      </c>
      <c r="G13" s="363">
        <f>G12-G6</f>
        <v>1622522.1100000003</v>
      </c>
      <c r="H13" s="363">
        <f>H12-H6</f>
        <v>1381651.0100000009</v>
      </c>
      <c r="I13" s="407">
        <f t="shared" si="1"/>
        <v>-0.14845474124232383</v>
      </c>
      <c r="J13" s="417">
        <f>H13/'7月邀约追踪'!I111</f>
        <v>0.73336040870488373</v>
      </c>
      <c r="K13" s="364">
        <f>H13-'7月邀约追踪'!I111</f>
        <v>-502348.98999999906</v>
      </c>
      <c r="L13" s="363">
        <f>L4+L7+L8+L9+L10+L11</f>
        <v>1336151.57</v>
      </c>
      <c r="M13" s="363">
        <f>M4+M7+M8+M9+M10+M11</f>
        <v>1523045.0899999996</v>
      </c>
      <c r="N13" s="409">
        <f t="shared" si="2"/>
        <v>0.1398744904367395</v>
      </c>
      <c r="O13" s="437">
        <f>M13/'7月邀约追踪'!I188</f>
        <v>0.80118100473435017</v>
      </c>
      <c r="P13" s="364">
        <f>'7月邀约追踪'!J226</f>
        <v>-247107.89000000013</v>
      </c>
      <c r="Q13" s="363">
        <f t="shared" si="3"/>
        <v>4163393.7100000009</v>
      </c>
      <c r="R13" s="363">
        <f t="shared" si="3"/>
        <v>4155090.6000000006</v>
      </c>
      <c r="S13" s="407">
        <f>R13/Q13-1</f>
        <v>-1.9943129519692793E-3</v>
      </c>
      <c r="T13" s="408">
        <f>R13/('7月邀约追踪'!H34+'7月邀约追踪'!I111+'7月邀约追踪'!I188)</f>
        <v>0.77665244859813098</v>
      </c>
      <c r="U13" s="394">
        <f t="shared" si="5"/>
        <v>-1064062.3799999992</v>
      </c>
    </row>
  </sheetData>
  <mergeCells count="4">
    <mergeCell ref="B2:F2"/>
    <mergeCell ref="G2:K2"/>
    <mergeCell ref="Q2:U2"/>
    <mergeCell ref="L2:P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2025年一季度指标</vt:lpstr>
      <vt:lpstr>2025第二季度指标</vt:lpstr>
      <vt:lpstr>2025第三季度指标</vt:lpstr>
      <vt:lpstr>7月邀约追踪</vt:lpstr>
      <vt:lpstr>Sheet1</vt:lpstr>
      <vt:lpstr>'2025年一季度指标'!Print_Area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Joey</dc:creator>
  <cp:lastModifiedBy>ZHOU Joey</cp:lastModifiedBy>
  <cp:lastPrinted>2024-12-27T13:12:00Z</cp:lastPrinted>
  <dcterms:created xsi:type="dcterms:W3CDTF">2015-06-05T18:17:20Z</dcterms:created>
  <dcterms:modified xsi:type="dcterms:W3CDTF">2025-07-23T03:59:53Z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2024-11-21T15:54:35Z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d86fff6b-2bb1-4f78-804b-1d2018f46f05</vt:lpwstr>
  </property>
  <property fmtid="{D5CDD505-2E9C-101B-9397-08002B2CF9AE}" pid="8" name="MSIP_Label_f43b7177-c66c-4b22-a350-7ee86f9a1e74_ContentBits">
    <vt:lpwstr>2</vt:lpwstr>
  </property>
</Properties>
</file>