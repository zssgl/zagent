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7F670671-694A-4158-A3DE-1DA02EA0FF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4" i="1"/>
  <c r="D33" i="1"/>
  <c r="C3" i="1"/>
  <c r="C8" i="1"/>
  <c r="C7" i="1"/>
  <c r="E25" i="1"/>
  <c r="E32" i="1"/>
  <c r="E31" i="1"/>
  <c r="E30" i="1"/>
  <c r="D5" i="1" s="1"/>
  <c r="E5" i="1" s="1"/>
  <c r="E29" i="1"/>
  <c r="E24" i="1"/>
  <c r="E28" i="1"/>
  <c r="E27" i="1"/>
  <c r="E26" i="1"/>
  <c r="E23" i="1"/>
  <c r="E22" i="1"/>
  <c r="E21" i="1"/>
  <c r="E20" i="1"/>
  <c r="E19" i="1"/>
  <c r="D8" i="1" s="1"/>
  <c r="E18" i="1"/>
  <c r="E17" i="1"/>
  <c r="D6" i="1" s="1"/>
  <c r="E16" i="1"/>
  <c r="E15" i="1"/>
  <c r="E14" i="1"/>
  <c r="E6" i="1" l="1"/>
  <c r="E8" i="1"/>
  <c r="D7" i="1"/>
  <c r="E7" i="1" s="1"/>
  <c r="D3" i="1"/>
  <c r="D4" i="1"/>
  <c r="E4" i="1" s="1"/>
  <c r="C9" i="1"/>
  <c r="E33" i="1"/>
  <c r="F33" i="1" s="1"/>
  <c r="D9" i="1" l="1"/>
  <c r="E9" i="1" s="1"/>
  <c r="E3" i="1"/>
</calcChain>
</file>

<file path=xl/sharedStrings.xml><?xml version="1.0" encoding="utf-8"?>
<sst xmlns="http://schemas.openxmlformats.org/spreadsheetml/2006/main" count="57" uniqueCount="34">
  <si>
    <t>YearMonth</t>
  </si>
  <si>
    <t>归属健康管理人</t>
  </si>
  <si>
    <t>R12回购基数</t>
  </si>
  <si>
    <t>冯娟</t>
  </si>
  <si>
    <t>韩菁</t>
  </si>
  <si>
    <t>季燕艺</t>
  </si>
  <si>
    <t>季玉</t>
  </si>
  <si>
    <t>荆晶</t>
  </si>
  <si>
    <t>李雨婷</t>
  </si>
  <si>
    <t>刘艳萍</t>
  </si>
  <si>
    <t>孙梦娇</t>
  </si>
  <si>
    <t>汪雅珍</t>
  </si>
  <si>
    <t>王柳</t>
  </si>
  <si>
    <t>王梦瑶</t>
  </si>
  <si>
    <t>魏思琳</t>
  </si>
  <si>
    <t>徐莹</t>
  </si>
  <si>
    <t>许鑫悦</t>
  </si>
  <si>
    <t>占兰玲</t>
  </si>
  <si>
    <t>张娜</t>
  </si>
  <si>
    <t>张馨丹</t>
  </si>
  <si>
    <t>张宇</t>
  </si>
  <si>
    <t>周佳丽</t>
  </si>
  <si>
    <t>Total</t>
  </si>
  <si>
    <t>应用的筛选器: 
Date 在 2024/1/1 当天或之后 和 在 2025/9/1 之前
维度 等于 Clinic
已包含 (1) 新客 (Value4) + 新客人数 (KPI)
已包含 (1) TTL (Value4) + 人数 (KPI)
维度 等于 Clinic
时间 等于 YearMonth
consumer new 时间参数 等于 Year
consumer new 维度 等于 客户来源_归类 或 客户来源
consumer new kpi 等于 消耗新客金额、消耗新客金额Evol%、消耗新客人数、消耗新客人数Evol%、消耗新客人均花费、消耗新客人均花费Evol%、消耗新客金额差异 或 消耗新客人数差异
consumer existing维度 等于 归属健康管理人
consumer existing时间参数 等于 YearMonth
已包含 (2) R12 (Value4) + R12回购基数 (consumer existing 消耗KPI)、R12 (Value4) + R12回购人数 (consumer existing 消耗KPI)
consumer existing 开单维度 等于 Clinic
consumer existing开单维度时间 等于 Year
consumer existing 开单KPI 等于 R6
Year 等于 2023、2024 或 2025
Clinic 不等于 (空白)</t>
  </si>
  <si>
    <t>2025年9月R12回购指标</t>
    <phoneticPr fontId="2" type="noConversion"/>
  </si>
  <si>
    <t>所属门店</t>
    <phoneticPr fontId="2" type="noConversion"/>
  </si>
  <si>
    <t>坤和</t>
    <phoneticPr fontId="2" type="noConversion"/>
  </si>
  <si>
    <t>上海</t>
    <phoneticPr fontId="2" type="noConversion"/>
  </si>
  <si>
    <t>目标回购率</t>
    <phoneticPr fontId="2" type="noConversion"/>
  </si>
  <si>
    <t>R12目标回购人数</t>
    <phoneticPr fontId="2" type="noConversion"/>
  </si>
  <si>
    <t>城西</t>
    <phoneticPr fontId="2" type="noConversion"/>
  </si>
  <si>
    <t>苏州</t>
    <phoneticPr fontId="2" type="noConversion"/>
  </si>
  <si>
    <t>西子</t>
    <phoneticPr fontId="2" type="noConversion"/>
  </si>
  <si>
    <t>万通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</si>
</sst>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5">
    <font>
      <sz val="10"/>
      <name val="宋体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</font>
    <font>
      <b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0" fillId="2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0" xfId="0" applyFont="1" applyFill="1">
      <alignment vertical="center"/>
    </xf>
    <xf numFmtId="176" fontId="0" fillId="0" borderId="0" xfId="1" applyNumberFormat="1" applyFont="1" applyFill="1">
      <alignment vertical="center"/>
    </xf>
    <xf numFmtId="176" fontId="0" fillId="0" borderId="0" xfId="1" applyNumberFormat="1" applyFont="1">
      <alignment vertical="center"/>
    </xf>
    <xf numFmtId="0" fontId="4" fillId="0" borderId="0" xfId="0" applyFont="1">
      <alignment vertical="center"/>
    </xf>
    <xf numFmtId="3" fontId="0" fillId="0" borderId="0" xfId="0" applyNumberFormat="1" applyBorder="1" applyAlignment="1"/>
    <xf numFmtId="3" fontId="4" fillId="0" borderId="7" xfId="0" applyNumberFormat="1" applyFont="1" applyFill="1" applyBorder="1" applyAlignment="1"/>
    <xf numFmtId="176" fontId="0" fillId="0" borderId="1" xfId="1" applyNumberFormat="1" applyFont="1" applyBorder="1">
      <alignment vertical="center"/>
    </xf>
    <xf numFmtId="0" fontId="0" fillId="0" borderId="2" xfId="0" applyFont="1" applyBorder="1" applyAlignment="1">
      <alignment vertical="top"/>
    </xf>
    <xf numFmtId="176" fontId="3" fillId="0" borderId="4" xfId="1" applyNumberFormat="1" applyFont="1" applyBorder="1">
      <alignment vertical="center"/>
    </xf>
    <xf numFmtId="176" fontId="0" fillId="0" borderId="6" xfId="1" applyNumberFormat="1" applyFont="1" applyBorder="1">
      <alignment vertical="center"/>
    </xf>
    <xf numFmtId="0" fontId="4" fillId="0" borderId="7" xfId="0" applyFont="1" applyBorder="1" applyAlignment="1"/>
    <xf numFmtId="0" fontId="0" fillId="0" borderId="0" xfId="0" applyFont="1" applyFill="1" applyAlignment="1">
      <alignment horizontal="center" vertical="center"/>
    </xf>
    <xf numFmtId="176" fontId="0" fillId="0" borderId="0" xfId="1" applyNumberFormat="1" applyFont="1" applyFill="1" applyAlignment="1">
      <alignment horizontal="center" vertical="center"/>
    </xf>
    <xf numFmtId="176" fontId="4" fillId="3" borderId="5" xfId="1" applyNumberFormat="1" applyFont="1" applyFill="1" applyBorder="1" applyAlignment="1">
      <alignment horizontal="center"/>
    </xf>
    <xf numFmtId="3" fontId="0" fillId="0" borderId="0" xfId="0" applyNumberFormat="1" applyFont="1" applyFill="1">
      <alignment vertical="center"/>
    </xf>
    <xf numFmtId="176" fontId="0" fillId="0" borderId="0" xfId="1" applyNumberFormat="1" applyFont="1" applyFill="1" applyBorder="1">
      <alignment vertical="center"/>
    </xf>
    <xf numFmtId="176" fontId="4" fillId="3" borderId="0" xfId="1" applyNumberFormat="1" applyFont="1" applyFill="1" applyBorder="1" applyAlignment="1">
      <alignment horizontal="center"/>
    </xf>
    <xf numFmtId="176" fontId="3" fillId="0" borderId="0" xfId="1" applyNumberFormat="1" applyFont="1" applyFill="1" applyBorder="1">
      <alignment vertical="center"/>
    </xf>
    <xf numFmtId="3" fontId="0" fillId="0" borderId="0" xfId="0" applyNumberFormat="1" applyFont="1" applyFill="1" applyBorder="1">
      <alignment vertical="center"/>
    </xf>
    <xf numFmtId="176" fontId="4" fillId="3" borderId="8" xfId="1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3" fontId="4" fillId="3" borderId="0" xfId="0" applyNumberFormat="1" applyFont="1" applyFill="1" applyBorder="1">
      <alignment vertical="center"/>
    </xf>
    <xf numFmtId="3" fontId="4" fillId="3" borderId="0" xfId="0" applyNumberFormat="1" applyFont="1" applyFill="1">
      <alignment vertical="center"/>
    </xf>
    <xf numFmtId="57" fontId="4" fillId="0" borderId="2" xfId="0" applyNumberFormat="1" applyFont="1" applyFill="1" applyBorder="1" applyAlignment="1">
      <alignment horizontal="center"/>
    </xf>
    <xf numFmtId="57" fontId="4" fillId="0" borderId="3" xfId="0" applyNumberFormat="1" applyFont="1" applyFill="1" applyBorder="1" applyAlignment="1">
      <alignment horizontal="center"/>
    </xf>
    <xf numFmtId="57" fontId="4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tabSelected="1" zoomScale="70" zoomScaleNormal="70" workbookViewId="0">
      <selection activeCell="I21" sqref="I21"/>
    </sheetView>
  </sheetViews>
  <sheetFormatPr defaultColWidth="11.296875" defaultRowHeight="13"/>
  <cols>
    <col min="2" max="2" width="20.3984375" style="6" customWidth="1"/>
    <col min="3" max="3" width="21" customWidth="1"/>
    <col min="4" max="4" width="17.19921875" style="4" customWidth="1"/>
    <col min="5" max="5" width="17.19921875" style="15" customWidth="1"/>
    <col min="6" max="6" width="17.19921875" style="16" customWidth="1"/>
  </cols>
  <sheetData>
    <row r="1" spans="2:6" s="4" customFormat="1">
      <c r="B1" s="19"/>
      <c r="C1" s="31" t="s">
        <v>24</v>
      </c>
      <c r="D1" s="31"/>
      <c r="E1" s="31"/>
      <c r="F1" s="16"/>
    </row>
    <row r="2" spans="2:6" s="4" customFormat="1">
      <c r="B2" s="19"/>
      <c r="C2" s="3" t="s">
        <v>2</v>
      </c>
      <c r="D2" s="24" t="s">
        <v>29</v>
      </c>
      <c r="E2" s="20" t="s">
        <v>28</v>
      </c>
      <c r="F2" s="16"/>
    </row>
    <row r="3" spans="2:6" s="4" customFormat="1">
      <c r="B3" s="21" t="s">
        <v>26</v>
      </c>
      <c r="C3" s="22">
        <f>D14+D21+D23+D27+D28+D29+D31</f>
        <v>1341</v>
      </c>
      <c r="D3" s="27">
        <f>E14+E21+E23+E27+E28+E29+E31</f>
        <v>300.37800000000004</v>
      </c>
      <c r="E3" s="20">
        <f t="shared" ref="E3:E9" si="0">D3/C3</f>
        <v>0.22399552572706938</v>
      </c>
      <c r="F3" s="16"/>
    </row>
    <row r="4" spans="2:6" s="4" customFormat="1">
      <c r="B4" s="21" t="s">
        <v>32</v>
      </c>
      <c r="C4" s="22">
        <f>D22+D24+D25+D26</f>
        <v>976</v>
      </c>
      <c r="D4" s="27">
        <f>E22+E24+E25+E26</f>
        <v>203.947</v>
      </c>
      <c r="E4" s="20">
        <f t="shared" si="0"/>
        <v>0.20896209016393444</v>
      </c>
      <c r="F4" s="16"/>
    </row>
    <row r="5" spans="2:6" s="4" customFormat="1">
      <c r="B5" s="21" t="s">
        <v>33</v>
      </c>
      <c r="C5" s="22">
        <f>D30+D32</f>
        <v>491</v>
      </c>
      <c r="D5" s="27">
        <f>E30+E32</f>
        <v>92.094999999999999</v>
      </c>
      <c r="E5" s="20">
        <f t="shared" si="0"/>
        <v>0.18756619144602851</v>
      </c>
      <c r="F5" s="16"/>
    </row>
    <row r="6" spans="2:6" s="4" customFormat="1">
      <c r="B6" s="21" t="s">
        <v>30</v>
      </c>
      <c r="C6" s="22">
        <f>D17</f>
        <v>422</v>
      </c>
      <c r="D6" s="27">
        <f>E17</f>
        <v>85.244</v>
      </c>
      <c r="E6" s="20">
        <f t="shared" si="0"/>
        <v>0.20200000000000001</v>
      </c>
      <c r="F6" s="16"/>
    </row>
    <row r="7" spans="2:6" s="4" customFormat="1">
      <c r="B7" s="21" t="s">
        <v>27</v>
      </c>
      <c r="C7" s="22">
        <f>D15+D16+D18</f>
        <v>742</v>
      </c>
      <c r="D7" s="27">
        <f>E15+E16+E18</f>
        <v>141.88</v>
      </c>
      <c r="E7" s="20">
        <f t="shared" si="0"/>
        <v>0.19121293800539083</v>
      </c>
      <c r="F7" s="16"/>
    </row>
    <row r="8" spans="2:6" s="4" customFormat="1">
      <c r="B8" s="21" t="s">
        <v>31</v>
      </c>
      <c r="C8" s="22">
        <f>D19+D20</f>
        <v>807</v>
      </c>
      <c r="D8" s="27">
        <f>E19+E20</f>
        <v>123.348</v>
      </c>
      <c r="E8" s="20">
        <f t="shared" si="0"/>
        <v>0.15284758364312268</v>
      </c>
      <c r="F8" s="16"/>
    </row>
    <row r="9" spans="2:6" s="4" customFormat="1">
      <c r="B9" s="5"/>
      <c r="C9" s="18">
        <f>SUM(C3:C8)</f>
        <v>4779</v>
      </c>
      <c r="D9" s="28">
        <f>SUM(D3:D8)</f>
        <v>946.89200000000005</v>
      </c>
      <c r="E9" s="20">
        <f t="shared" si="0"/>
        <v>0.19813601171793263</v>
      </c>
      <c r="F9" s="16"/>
    </row>
    <row r="10" spans="2:6" s="4" customFormat="1">
      <c r="B10" s="5"/>
      <c r="E10" s="15"/>
      <c r="F10" s="16"/>
    </row>
    <row r="11" spans="2:6" s="4" customFormat="1" ht="13.5" thickBot="1">
      <c r="B11" s="5"/>
      <c r="E11" s="15"/>
      <c r="F11" s="16"/>
    </row>
    <row r="12" spans="2:6">
      <c r="B12" s="10"/>
      <c r="C12" s="11" t="s">
        <v>0</v>
      </c>
      <c r="D12" s="29" t="s">
        <v>24</v>
      </c>
      <c r="E12" s="29"/>
      <c r="F12" s="30"/>
    </row>
    <row r="13" spans="2:6">
      <c r="B13" s="12" t="s">
        <v>25</v>
      </c>
      <c r="C13" s="2" t="s">
        <v>1</v>
      </c>
      <c r="D13" s="3" t="s">
        <v>2</v>
      </c>
      <c r="E13" s="24" t="s">
        <v>29</v>
      </c>
      <c r="F13" s="17" t="s">
        <v>28</v>
      </c>
    </row>
    <row r="14" spans="2:6">
      <c r="B14" s="12" t="s">
        <v>26</v>
      </c>
      <c r="C14" s="1" t="s">
        <v>3</v>
      </c>
      <c r="D14" s="8">
        <v>435</v>
      </c>
      <c r="E14" s="25">
        <f>F14*D14</f>
        <v>92.655000000000001</v>
      </c>
      <c r="F14" s="17">
        <v>0.21299999999999999</v>
      </c>
    </row>
    <row r="15" spans="2:6">
      <c r="B15" s="12" t="s">
        <v>27</v>
      </c>
      <c r="C15" s="1" t="s">
        <v>4</v>
      </c>
      <c r="D15" s="8">
        <v>350</v>
      </c>
      <c r="E15" s="25">
        <f>F15*D15</f>
        <v>63</v>
      </c>
      <c r="F15" s="17">
        <v>0.18</v>
      </c>
    </row>
    <row r="16" spans="2:6">
      <c r="B16" s="12" t="s">
        <v>27</v>
      </c>
      <c r="C16" s="1" t="s">
        <v>5</v>
      </c>
      <c r="D16" s="8">
        <v>360</v>
      </c>
      <c r="E16" s="25">
        <f>F16*D16</f>
        <v>67.680000000000007</v>
      </c>
      <c r="F16" s="17">
        <v>0.188</v>
      </c>
    </row>
    <row r="17" spans="2:6">
      <c r="B17" s="12" t="s">
        <v>30</v>
      </c>
      <c r="C17" s="1" t="s">
        <v>6</v>
      </c>
      <c r="D17" s="8">
        <v>422</v>
      </c>
      <c r="E17" s="25">
        <f>F17*D17</f>
        <v>85.244</v>
      </c>
      <c r="F17" s="17">
        <v>0.20200000000000001</v>
      </c>
    </row>
    <row r="18" spans="2:6">
      <c r="B18" s="12" t="s">
        <v>27</v>
      </c>
      <c r="C18" s="1" t="s">
        <v>7</v>
      </c>
      <c r="D18" s="8">
        <v>32</v>
      </c>
      <c r="E18" s="25">
        <f>F18*D18</f>
        <v>11.2</v>
      </c>
      <c r="F18" s="17">
        <v>0.35</v>
      </c>
    </row>
    <row r="19" spans="2:6">
      <c r="B19" s="12" t="s">
        <v>31</v>
      </c>
      <c r="C19" s="1" t="s">
        <v>8</v>
      </c>
      <c r="D19" s="8">
        <v>444</v>
      </c>
      <c r="E19" s="25">
        <f>F19*D19</f>
        <v>65.268000000000001</v>
      </c>
      <c r="F19" s="17">
        <v>0.14699999999999999</v>
      </c>
    </row>
    <row r="20" spans="2:6">
      <c r="B20" s="12" t="s">
        <v>31</v>
      </c>
      <c r="C20" s="1" t="s">
        <v>9</v>
      </c>
      <c r="D20" s="8">
        <v>363</v>
      </c>
      <c r="E20" s="25">
        <f>F20*D20</f>
        <v>58.08</v>
      </c>
      <c r="F20" s="17">
        <v>0.16</v>
      </c>
    </row>
    <row r="21" spans="2:6">
      <c r="B21" s="12" t="s">
        <v>26</v>
      </c>
      <c r="C21" s="1" t="s">
        <v>10</v>
      </c>
      <c r="D21" s="3">
        <v>9</v>
      </c>
      <c r="E21" s="25">
        <f>F21*D21</f>
        <v>2.97</v>
      </c>
      <c r="F21" s="17">
        <v>0.33</v>
      </c>
    </row>
    <row r="22" spans="2:6">
      <c r="B22" s="12" t="s">
        <v>32</v>
      </c>
      <c r="C22" s="1" t="s">
        <v>11</v>
      </c>
      <c r="D22" s="8">
        <v>5</v>
      </c>
      <c r="E22" s="25">
        <f>F22*D22</f>
        <v>1.6500000000000001</v>
      </c>
      <c r="F22" s="17">
        <v>0.33</v>
      </c>
    </row>
    <row r="23" spans="2:6">
      <c r="B23" s="12" t="s">
        <v>26</v>
      </c>
      <c r="C23" s="1" t="s">
        <v>12</v>
      </c>
      <c r="D23" s="8">
        <v>382</v>
      </c>
      <c r="E23" s="25">
        <f>F23*D23</f>
        <v>91.679999999999993</v>
      </c>
      <c r="F23" s="17">
        <v>0.24</v>
      </c>
    </row>
    <row r="24" spans="2:6">
      <c r="B24" s="12" t="s">
        <v>32</v>
      </c>
      <c r="C24" s="1" t="s">
        <v>13</v>
      </c>
      <c r="D24" s="8">
        <v>481</v>
      </c>
      <c r="E24" s="25">
        <f>F24*D24</f>
        <v>98.60499999999999</v>
      </c>
      <c r="F24" s="17">
        <v>0.20499999999999999</v>
      </c>
    </row>
    <row r="25" spans="2:6">
      <c r="B25" s="12" t="s">
        <v>32</v>
      </c>
      <c r="C25" s="1" t="s">
        <v>14</v>
      </c>
      <c r="D25" s="8">
        <v>374</v>
      </c>
      <c r="E25" s="25">
        <f>F25*D25</f>
        <v>66.572000000000003</v>
      </c>
      <c r="F25" s="17">
        <v>0.17799999999999999</v>
      </c>
    </row>
    <row r="26" spans="2:6">
      <c r="B26" s="12" t="s">
        <v>32</v>
      </c>
      <c r="C26" s="1" t="s">
        <v>15</v>
      </c>
      <c r="D26" s="8">
        <v>116</v>
      </c>
      <c r="E26" s="25">
        <f>F26*D26</f>
        <v>37.119999999999997</v>
      </c>
      <c r="F26" s="17">
        <v>0.32</v>
      </c>
    </row>
    <row r="27" spans="2:6">
      <c r="B27" s="12" t="s">
        <v>26</v>
      </c>
      <c r="C27" s="1" t="s">
        <v>16</v>
      </c>
      <c r="D27" s="8">
        <v>92</v>
      </c>
      <c r="E27" s="25">
        <f>F27*D27</f>
        <v>19.32</v>
      </c>
      <c r="F27" s="17">
        <v>0.21</v>
      </c>
    </row>
    <row r="28" spans="2:6">
      <c r="B28" s="12" t="s">
        <v>26</v>
      </c>
      <c r="C28" s="1" t="s">
        <v>17</v>
      </c>
      <c r="D28" s="8">
        <v>42</v>
      </c>
      <c r="E28" s="25">
        <f>F28*D28</f>
        <v>13.860000000000001</v>
      </c>
      <c r="F28" s="17">
        <v>0.33</v>
      </c>
    </row>
    <row r="29" spans="2:6">
      <c r="B29" s="12" t="s">
        <v>26</v>
      </c>
      <c r="C29" s="1" t="s">
        <v>18</v>
      </c>
      <c r="D29" s="8">
        <v>361</v>
      </c>
      <c r="E29" s="25">
        <f>F29*D29</f>
        <v>76.893000000000001</v>
      </c>
      <c r="F29" s="17">
        <v>0.21299999999999999</v>
      </c>
    </row>
    <row r="30" spans="2:6">
      <c r="B30" s="12" t="s">
        <v>33</v>
      </c>
      <c r="C30" s="1" t="s">
        <v>19</v>
      </c>
      <c r="D30" s="8">
        <v>487</v>
      </c>
      <c r="E30" s="25">
        <f>F30*D30</f>
        <v>90.094999999999999</v>
      </c>
      <c r="F30" s="17">
        <v>0.185</v>
      </c>
    </row>
    <row r="31" spans="2:6">
      <c r="B31" s="12" t="s">
        <v>26</v>
      </c>
      <c r="C31" s="1" t="s">
        <v>20</v>
      </c>
      <c r="D31" s="8">
        <v>20</v>
      </c>
      <c r="E31" s="25">
        <f>F31*D31</f>
        <v>3</v>
      </c>
      <c r="F31" s="17">
        <v>0.15</v>
      </c>
    </row>
    <row r="32" spans="2:6">
      <c r="B32" s="12" t="s">
        <v>33</v>
      </c>
      <c r="C32" s="1" t="s">
        <v>21</v>
      </c>
      <c r="D32" s="8">
        <v>4</v>
      </c>
      <c r="E32" s="25">
        <f>F32*D32</f>
        <v>2</v>
      </c>
      <c r="F32" s="17">
        <v>0.5</v>
      </c>
    </row>
    <row r="33" spans="2:6" s="7" customFormat="1" ht="13.5" thickBot="1">
      <c r="B33" s="13"/>
      <c r="C33" s="14" t="s">
        <v>22</v>
      </c>
      <c r="D33" s="9">
        <f>SUM(D14:D32)</f>
        <v>4779</v>
      </c>
      <c r="E33" s="26">
        <f>SUM(E14:E32)</f>
        <v>946.89200000000017</v>
      </c>
      <c r="F33" s="23">
        <f>E33/D33</f>
        <v>0.19813601171793266</v>
      </c>
    </row>
    <row r="35" spans="2:6">
      <c r="C35" t="s">
        <v>23</v>
      </c>
    </row>
  </sheetData>
  <mergeCells count="2">
    <mergeCell ref="D12:F12"/>
    <mergeCell ref="C1:E1"/>
  </mergeCells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 Joey</cp:lastModifiedBy>
  <dcterms:created xsi:type="dcterms:W3CDTF">2025-09-01T17:37:10Z</dcterms:created>
  <dcterms:modified xsi:type="dcterms:W3CDTF">2025-09-03T04:25:13Z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0DFFA9BA71A7B313716BB56805FCD964_43</vt:lpwstr>
  </property>
  <property fmtid="{D5CDD505-2E9C-101B-9397-08002B2CF9AE}" pid="3" name="KSOProductBuildVer">
    <vt:lpwstr>2052-7.5.1.8994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2025-09-02T01:51:42Z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a105a57a-891f-4157-bc6e-cb94d043f711</vt:lpwstr>
  </property>
  <property fmtid="{D5CDD505-2E9C-101B-9397-08002B2CF9AE}" pid="10" name="MSIP_Label_f43b7177-c66c-4b22-a350-7ee86f9a1e74_ContentBits">
    <vt:lpwstr>2</vt:lpwstr>
  </property>
  <property fmtid="{D5CDD505-2E9C-101B-9397-08002B2CF9AE}" pid="11" name="MSIP_Label_f43b7177-c66c-4b22-a350-7ee86f9a1e74_Tag">
    <vt:lpwstr>10, 3, 0, 1</vt:lpwstr>
  </property>
</Properties>
</file>