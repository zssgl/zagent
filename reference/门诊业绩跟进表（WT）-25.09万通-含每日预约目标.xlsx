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joey.zhou\D\ACD\Project Y\DD\business plan\monthly activity\202509\"/>
    </mc:Choice>
  </mc:AlternateContent>
  <xr:revisionPtr revIDLastSave="0" documentId="13_ncr:1_{46783A45-4361-49B2-BB28-811AC20F7E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原计划" sheetId="1" r:id="rId1"/>
  </sheets>
  <externalReferences>
    <externalReference r:id="rId2"/>
  </externalReferences>
  <definedNames>
    <definedName name="_xlnm._FilterDatabase" localSheetId="0" hidden="1">原计划!$A$4:$AI$37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3" i="1" l="1"/>
  <c r="AH43" i="1"/>
  <c r="AI42" i="1"/>
  <c r="AH42" i="1"/>
  <c r="AI41" i="1"/>
  <c r="AH41" i="1"/>
  <c r="AI40" i="1"/>
  <c r="AH40" i="1"/>
  <c r="AI39" i="1"/>
  <c r="AH39" i="1"/>
  <c r="AA37" i="1"/>
  <c r="Z37" i="1"/>
  <c r="Y37" i="1"/>
  <c r="AI36" i="1"/>
  <c r="AH36" i="1"/>
  <c r="AG36" i="1"/>
  <c r="AA36" i="1"/>
  <c r="Z36" i="1"/>
  <c r="Y36" i="1"/>
  <c r="AI35" i="1"/>
  <c r="AH35" i="1"/>
  <c r="AH37" i="1" s="1"/>
  <c r="AA35" i="1"/>
  <c r="Z35" i="1"/>
  <c r="Y35" i="1"/>
  <c r="T35" i="1"/>
  <c r="S35" i="1"/>
  <c r="R35" i="1"/>
  <c r="Q35" i="1"/>
  <c r="P35" i="1"/>
  <c r="O35" i="1"/>
  <c r="N35" i="1"/>
  <c r="M35" i="1"/>
  <c r="L35" i="1"/>
  <c r="AI34" i="1"/>
  <c r="AH34" i="1"/>
  <c r="AG34" i="1"/>
  <c r="Y34" i="1"/>
  <c r="AI33" i="1"/>
  <c r="AH33" i="1"/>
  <c r="AG33" i="1"/>
  <c r="AI32" i="1"/>
  <c r="AH32" i="1"/>
  <c r="AG32" i="1"/>
  <c r="Y32" i="1"/>
  <c r="AI31" i="1"/>
  <c r="AH31" i="1"/>
  <c r="AG31" i="1"/>
  <c r="Y31" i="1"/>
  <c r="AI30" i="1"/>
  <c r="AH30" i="1"/>
  <c r="AG30" i="1"/>
  <c r="Y30" i="1"/>
  <c r="AI29" i="1"/>
  <c r="AH29" i="1"/>
  <c r="AG29" i="1"/>
  <c r="Y29" i="1"/>
  <c r="AI28" i="1"/>
  <c r="AH28" i="1"/>
  <c r="AG28" i="1"/>
  <c r="Y28" i="1"/>
  <c r="AI27" i="1"/>
  <c r="AH27" i="1"/>
  <c r="AG27" i="1"/>
  <c r="Y27" i="1"/>
  <c r="AI26" i="1"/>
  <c r="AH26" i="1"/>
  <c r="AG26" i="1"/>
  <c r="AI25" i="1"/>
  <c r="AH25" i="1"/>
  <c r="AG25" i="1"/>
  <c r="Y25" i="1"/>
  <c r="AI24" i="1"/>
  <c r="AH24" i="1"/>
  <c r="AG24" i="1"/>
  <c r="Y24" i="1"/>
  <c r="AI23" i="1"/>
  <c r="AH23" i="1"/>
  <c r="AG23" i="1"/>
  <c r="Y23" i="1"/>
  <c r="AI22" i="1"/>
  <c r="AH22" i="1"/>
  <c r="AG22" i="1"/>
  <c r="Y22" i="1"/>
  <c r="AI21" i="1"/>
  <c r="AG21" i="1"/>
  <c r="Y21" i="1"/>
  <c r="AI20" i="1"/>
  <c r="AH20" i="1"/>
  <c r="AG20" i="1"/>
  <c r="Y20" i="1"/>
  <c r="AI19" i="1"/>
  <c r="AH19" i="1"/>
  <c r="AG19" i="1"/>
  <c r="AI18" i="1"/>
  <c r="AH18" i="1"/>
  <c r="AG18" i="1"/>
  <c r="Y18" i="1"/>
  <c r="AI17" i="1"/>
  <c r="AH17" i="1"/>
  <c r="AG17" i="1"/>
  <c r="Y17" i="1"/>
  <c r="AI16" i="1"/>
  <c r="AH16" i="1"/>
  <c r="AG16" i="1"/>
  <c r="Y16" i="1"/>
  <c r="AI15" i="1"/>
  <c r="AH15" i="1"/>
  <c r="AG15" i="1"/>
  <c r="Y15" i="1"/>
  <c r="AI14" i="1"/>
  <c r="AG14" i="1"/>
  <c r="Y14" i="1"/>
  <c r="AI13" i="1"/>
  <c r="AG13" i="1"/>
  <c r="Y13" i="1"/>
  <c r="AI12" i="1"/>
  <c r="AH12" i="1"/>
  <c r="AG12" i="1"/>
  <c r="AI11" i="1"/>
  <c r="AH11" i="1"/>
  <c r="AG11" i="1"/>
  <c r="Y11" i="1"/>
  <c r="AI10" i="1"/>
  <c r="AH10" i="1"/>
  <c r="AG10" i="1"/>
  <c r="Y10" i="1"/>
  <c r="AI9" i="1"/>
  <c r="AH9" i="1"/>
  <c r="AG9" i="1"/>
  <c r="Y9" i="1"/>
  <c r="AI8" i="1"/>
  <c r="AH8" i="1"/>
  <c r="AG8" i="1"/>
  <c r="Y8" i="1"/>
  <c r="AI7" i="1"/>
  <c r="AG7" i="1"/>
  <c r="Y7" i="1"/>
  <c r="AI6" i="1"/>
  <c r="AH6" i="1"/>
  <c r="Y6" i="1"/>
  <c r="AI5" i="1"/>
  <c r="AH5" i="1"/>
  <c r="AG5" i="1"/>
  <c r="AG35" i="1" l="1"/>
  <c r="AG37" i="1" s="1"/>
  <c r="AG6" i="1" l="1"/>
</calcChain>
</file>

<file path=xl/sharedStrings.xml><?xml version="1.0" encoding="utf-8"?>
<sst xmlns="http://schemas.openxmlformats.org/spreadsheetml/2006/main" count="420" uniqueCount="50">
  <si>
    <t>门店</t>
  </si>
  <si>
    <t>日期</t>
  </si>
  <si>
    <t>排班</t>
  </si>
  <si>
    <t>开单</t>
  </si>
  <si>
    <r>
      <rPr>
        <b/>
        <sz val="10"/>
        <color theme="1"/>
        <rFont val="等线"/>
      </rPr>
      <t>消耗目标</t>
    </r>
    <r>
      <rPr>
        <sz val="10"/>
        <color rgb="FFFF0000"/>
        <rFont val="等线"/>
      </rPr>
      <t>（每日：门店目标=健康管理人消耗目标）</t>
    </r>
  </si>
  <si>
    <t>宋老师的倒算，来几天，做多少生意，约几个人，剩下拆到每一天</t>
  </si>
  <si>
    <t>营运经理</t>
  </si>
  <si>
    <t>咨询</t>
  </si>
  <si>
    <t>护士</t>
  </si>
  <si>
    <t>客服</t>
  </si>
  <si>
    <t>专家日</t>
  </si>
  <si>
    <t>专场/沙龙</t>
  </si>
  <si>
    <t>医生排班</t>
  </si>
  <si>
    <r>
      <rPr>
        <b/>
        <sz val="10"/>
        <color theme="1"/>
        <rFont val="等线"/>
      </rPr>
      <t>健康管理人</t>
    </r>
    <r>
      <rPr>
        <sz val="10"/>
        <color theme="1"/>
        <rFont val="等线"/>
      </rPr>
      <t>（含管理顾客的咨询及护士）</t>
    </r>
  </si>
  <si>
    <t>张馨丹</t>
  </si>
  <si>
    <t>周佳丽</t>
  </si>
  <si>
    <t>杨珍珍</t>
  </si>
  <si>
    <t>岳喜婷</t>
  </si>
  <si>
    <t>祝喆丽</t>
  </si>
  <si>
    <t>孙雪兰</t>
  </si>
  <si>
    <t>完成</t>
  </si>
  <si>
    <t>宋为民</t>
  </si>
  <si>
    <t>杨慧</t>
  </si>
  <si>
    <t>沈静</t>
  </si>
  <si>
    <t>虞泽伟</t>
  </si>
  <si>
    <t>万通</t>
  </si>
  <si>
    <t>休</t>
  </si>
  <si>
    <t>产假</t>
  </si>
  <si>
    <t>Y</t>
  </si>
  <si>
    <t>周一</t>
  </si>
  <si>
    <t>艾尔建培训</t>
  </si>
  <si>
    <t>周二</t>
  </si>
  <si>
    <t>Y(宋)</t>
  </si>
  <si>
    <t>周三</t>
  </si>
  <si>
    <t>周四</t>
  </si>
  <si>
    <t>周五</t>
  </si>
  <si>
    <t>周六</t>
  </si>
  <si>
    <t>周日</t>
  </si>
  <si>
    <t>高德美培训</t>
  </si>
  <si>
    <t>Y(沈)</t>
  </si>
  <si>
    <t>汇总</t>
  </si>
  <si>
    <t>消耗目标</t>
  </si>
  <si>
    <t>到诊人数目标</t>
  </si>
  <si>
    <t>去年同期</t>
  </si>
  <si>
    <t>增长</t>
  </si>
  <si>
    <t>过往12个月客单</t>
  </si>
  <si>
    <t>去年同期客单</t>
  </si>
  <si>
    <t>上月客单</t>
  </si>
  <si>
    <t>参考客单</t>
  </si>
  <si>
    <t>Y(下午）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</si>
</sst>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 * #,##0.00_ ;_ * \-#,##0.00_ ;_ * &quot;-&quot;??_ ;_ @_ "/>
    <numFmt numFmtId="178" formatCode="0_ "/>
    <numFmt numFmtId="179" formatCode="0.00_ "/>
    <numFmt numFmtId="180" formatCode="#"/>
    <numFmt numFmtId="181" formatCode="#,##0_);[Red]\(#,##0\)"/>
    <numFmt numFmtId="182" formatCode="#,##0_ "/>
    <numFmt numFmtId="184" formatCode="_ * #,##0_ ;_ * \-#,##0_ ;_ * &quot;-&quot;??_ ;_ @_ "/>
  </numFmts>
  <fonts count="15">
    <font>
      <sz val="11"/>
      <color theme="1"/>
      <name val="宋体"/>
      <charset val="134"/>
      <scheme val="minor"/>
    </font>
    <font>
      <sz val="10"/>
      <color theme="1"/>
      <name val="等线"/>
    </font>
    <font>
      <sz val="10"/>
      <name val="等线"/>
    </font>
    <font>
      <sz val="10"/>
      <color rgb="FF000000"/>
      <name val="等线"/>
    </font>
    <font>
      <sz val="10"/>
      <color rgb="FFFF0000"/>
      <name val="等线"/>
    </font>
    <font>
      <b/>
      <sz val="10"/>
      <color theme="1"/>
      <name val="等线"/>
    </font>
    <font>
      <b/>
      <sz val="10"/>
      <name val="等线"/>
    </font>
    <font>
      <sz val="10"/>
      <name val="宋体"/>
    </font>
    <font>
      <sz val="11"/>
      <name val="微软雅黑"/>
      <family val="2"/>
    </font>
    <font>
      <sz val="10"/>
      <name val="微软雅黑"/>
      <family val="2"/>
    </font>
    <font>
      <i/>
      <sz val="10"/>
      <color theme="1"/>
      <name val="等线"/>
    </font>
    <font>
      <b/>
      <sz val="10"/>
      <color rgb="FF000000"/>
      <name val="等线"/>
    </font>
    <font>
      <b/>
      <sz val="10"/>
      <color rgb="FFFF0000"/>
      <name val="等线"/>
    </font>
    <font>
      <sz val="11"/>
      <color theme="1"/>
      <name val="宋体"/>
      <scheme val="minor"/>
    </font>
    <font>
      <sz val="9"/>
      <name val="宋体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E3F1D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</cellStyleXfs>
  <cellXfs count="14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58" fontId="1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58" fontId="4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58" fontId="4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58" fontId="1" fillId="0" borderId="4" xfId="0" applyNumberFormat="1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58" fontId="1" fillId="4" borderId="4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58" fontId="4" fillId="0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178" fontId="1" fillId="2" borderId="15" xfId="0" applyNumberFormat="1" applyFont="1" applyFill="1" applyBorder="1" applyAlignment="1">
      <alignment horizontal="center" vertical="center"/>
    </xf>
    <xf numFmtId="178" fontId="2" fillId="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178" fontId="1" fillId="0" borderId="15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9" fontId="9" fillId="0" borderId="4" xfId="0" applyNumberFormat="1" applyFont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178" fontId="1" fillId="3" borderId="15" xfId="0" applyNumberFormat="1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center" vertical="center"/>
    </xf>
    <xf numFmtId="178" fontId="1" fillId="0" borderId="15" xfId="0" applyNumberFormat="1" applyFont="1" applyFill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79" fontId="9" fillId="0" borderId="4" xfId="0" applyNumberFormat="1" applyFont="1" applyFill="1" applyBorder="1" applyAlignment="1">
      <alignment horizontal="center"/>
    </xf>
    <xf numFmtId="178" fontId="4" fillId="0" borderId="4" xfId="0" applyNumberFormat="1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178" fontId="1" fillId="4" borderId="15" xfId="0" applyNumberFormat="1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178" fontId="1" fillId="0" borderId="17" xfId="0" applyNumberFormat="1" applyFont="1" applyFill="1" applyBorder="1" applyAlignment="1">
      <alignment horizontal="center" vertical="center"/>
    </xf>
    <xf numFmtId="178" fontId="2" fillId="0" borderId="6" xfId="0" applyNumberFormat="1" applyFont="1" applyFill="1" applyBorder="1" applyAlignment="1">
      <alignment horizontal="center" vertical="center"/>
    </xf>
    <xf numFmtId="179" fontId="9" fillId="0" borderId="6" xfId="0" applyNumberFormat="1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 vertical="center"/>
    </xf>
    <xf numFmtId="178" fontId="1" fillId="2" borderId="4" xfId="0" applyNumberFormat="1" applyFont="1" applyFill="1" applyBorder="1" applyAlignment="1">
      <alignment horizontal="center" vertical="center"/>
    </xf>
    <xf numFmtId="178" fontId="1" fillId="2" borderId="10" xfId="0" applyNumberFormat="1" applyFont="1" applyFill="1" applyBorder="1" applyAlignment="1">
      <alignment horizontal="center" vertical="center"/>
    </xf>
    <xf numFmtId="178" fontId="1" fillId="0" borderId="4" xfId="0" applyNumberFormat="1" applyFont="1" applyBorder="1" applyAlignment="1">
      <alignment horizontal="center" vertical="center"/>
    </xf>
    <xf numFmtId="178" fontId="1" fillId="0" borderId="10" xfId="0" applyNumberFormat="1" applyFont="1" applyBorder="1" applyAlignment="1">
      <alignment horizontal="center" vertical="center"/>
    </xf>
    <xf numFmtId="178" fontId="1" fillId="3" borderId="4" xfId="0" applyNumberFormat="1" applyFont="1" applyFill="1" applyBorder="1" applyAlignment="1">
      <alignment horizontal="center" vertical="center"/>
    </xf>
    <xf numFmtId="178" fontId="1" fillId="3" borderId="10" xfId="0" applyNumberFormat="1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178" fontId="1" fillId="0" borderId="10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78" fontId="2" fillId="4" borderId="4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178" fontId="1" fillId="0" borderId="6" xfId="0" applyNumberFormat="1" applyFont="1" applyFill="1" applyBorder="1" applyAlignment="1">
      <alignment horizontal="center" vertical="center"/>
    </xf>
    <xf numFmtId="178" fontId="1" fillId="0" borderId="16" xfId="0" applyNumberFormat="1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 wrapText="1"/>
    </xf>
    <xf numFmtId="180" fontId="1" fillId="2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>
      <alignment horizontal="center" vertical="center"/>
    </xf>
    <xf numFmtId="180" fontId="1" fillId="0" borderId="4" xfId="0" applyNumberFormat="1" applyFont="1" applyFill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>
      <alignment horizontal="center" vertical="center"/>
    </xf>
    <xf numFmtId="180" fontId="1" fillId="4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6" xfId="0" applyFont="1" applyFill="1" applyBorder="1" applyAlignment="1">
      <alignment horizontal="center" vertical="center"/>
    </xf>
    <xf numFmtId="182" fontId="1" fillId="0" borderId="0" xfId="0" applyNumberFormat="1" applyFont="1" applyAlignment="1">
      <alignment horizontal="center" vertical="center"/>
    </xf>
    <xf numFmtId="9" fontId="1" fillId="0" borderId="0" xfId="2" applyFont="1" applyAlignment="1">
      <alignment horizontal="center" vertical="center"/>
    </xf>
    <xf numFmtId="0" fontId="12" fillId="9" borderId="4" xfId="0" applyFont="1" applyFill="1" applyBorder="1" applyAlignment="1">
      <alignment horizontal="center" vertical="center" wrapText="1"/>
    </xf>
    <xf numFmtId="178" fontId="4" fillId="2" borderId="4" xfId="0" applyNumberFormat="1" applyFont="1" applyFill="1" applyBorder="1" applyAlignment="1">
      <alignment horizontal="center" vertical="center"/>
    </xf>
    <xf numFmtId="180" fontId="4" fillId="2" borderId="4" xfId="0" applyNumberFormat="1" applyFont="1" applyFill="1" applyBorder="1" applyAlignment="1">
      <alignment horizontal="center" vertical="center"/>
    </xf>
    <xf numFmtId="178" fontId="4" fillId="10" borderId="4" xfId="0" applyNumberFormat="1" applyFont="1" applyFill="1" applyBorder="1" applyAlignment="1">
      <alignment horizontal="center" vertical="center"/>
    </xf>
    <xf numFmtId="180" fontId="4" fillId="10" borderId="4" xfId="0" applyNumberFormat="1" applyFont="1" applyFill="1" applyBorder="1" applyAlignment="1">
      <alignment horizontal="center" vertical="center"/>
    </xf>
    <xf numFmtId="178" fontId="4" fillId="3" borderId="4" xfId="0" applyNumberFormat="1" applyFont="1" applyFill="1" applyBorder="1" applyAlignment="1">
      <alignment horizontal="center" vertical="center"/>
    </xf>
    <xf numFmtId="180" fontId="4" fillId="3" borderId="4" xfId="0" applyNumberFormat="1" applyFont="1" applyFill="1" applyBorder="1" applyAlignment="1">
      <alignment horizontal="center" vertical="center"/>
    </xf>
    <xf numFmtId="180" fontId="4" fillId="0" borderId="4" xfId="0" applyNumberFormat="1" applyFont="1" applyFill="1" applyBorder="1" applyAlignment="1">
      <alignment horizontal="center" vertical="center"/>
    </xf>
    <xf numFmtId="178" fontId="4" fillId="4" borderId="4" xfId="0" applyNumberFormat="1" applyFont="1" applyFill="1" applyBorder="1" applyAlignment="1">
      <alignment horizontal="center" vertical="center"/>
    </xf>
    <xf numFmtId="180" fontId="4" fillId="4" borderId="4" xfId="0" applyNumberFormat="1" applyFont="1" applyFill="1" applyBorder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182" fontId="4" fillId="0" borderId="0" xfId="0" applyNumberFormat="1" applyFont="1" applyAlignment="1">
      <alignment horizontal="center" vertical="center"/>
    </xf>
    <xf numFmtId="9" fontId="4" fillId="0" borderId="0" xfId="2" applyFont="1" applyAlignment="1">
      <alignment horizontal="center" vertical="center"/>
    </xf>
    <xf numFmtId="182" fontId="4" fillId="3" borderId="0" xfId="0" applyNumberFormat="1" applyFon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9" borderId="2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/>
    </xf>
    <xf numFmtId="184" fontId="1" fillId="0" borderId="0" xfId="1" applyNumberFormat="1" applyFont="1" applyAlignment="1">
      <alignment horizontal="center" vertical="center"/>
    </xf>
    <xf numFmtId="184" fontId="5" fillId="9" borderId="3" xfId="1" applyNumberFormat="1" applyFont="1" applyFill="1" applyBorder="1" applyAlignment="1">
      <alignment horizontal="center" vertical="center" wrapText="1"/>
    </xf>
    <xf numFmtId="184" fontId="5" fillId="9" borderId="3" xfId="1" applyNumberFormat="1" applyFont="1" applyFill="1" applyBorder="1" applyAlignment="1">
      <alignment horizontal="center" vertical="center"/>
    </xf>
    <xf numFmtId="184" fontId="6" fillId="9" borderId="4" xfId="1" applyNumberFormat="1" applyFont="1" applyFill="1" applyBorder="1" applyAlignment="1">
      <alignment horizontal="center" vertical="center" wrapText="1"/>
    </xf>
    <xf numFmtId="184" fontId="1" fillId="2" borderId="3" xfId="1" applyNumberFormat="1" applyFont="1" applyFill="1" applyBorder="1" applyAlignment="1">
      <alignment horizontal="center" vertical="center"/>
    </xf>
    <xf numFmtId="184" fontId="1" fillId="2" borderId="4" xfId="1" applyNumberFormat="1" applyFont="1" applyFill="1" applyBorder="1" applyAlignment="1">
      <alignment horizontal="center" vertical="center"/>
    </xf>
    <xf numFmtId="184" fontId="1" fillId="0" borderId="3" xfId="1" applyNumberFormat="1" applyFont="1" applyBorder="1" applyAlignment="1">
      <alignment horizontal="center" vertical="center"/>
    </xf>
    <xf numFmtId="184" fontId="1" fillId="0" borderId="4" xfId="1" applyNumberFormat="1" applyFont="1" applyBorder="1" applyAlignment="1">
      <alignment horizontal="center" vertical="center"/>
    </xf>
    <xf numFmtId="184" fontId="1" fillId="3" borderId="3" xfId="1" applyNumberFormat="1" applyFont="1" applyFill="1" applyBorder="1" applyAlignment="1">
      <alignment horizontal="center" vertical="center"/>
    </xf>
    <xf numFmtId="184" fontId="1" fillId="3" borderId="4" xfId="1" applyNumberFormat="1" applyFont="1" applyFill="1" applyBorder="1" applyAlignment="1">
      <alignment horizontal="center" vertical="center"/>
    </xf>
    <xf numFmtId="184" fontId="1" fillId="0" borderId="3" xfId="1" applyNumberFormat="1" applyFont="1" applyFill="1" applyBorder="1" applyAlignment="1">
      <alignment horizontal="center" vertical="center"/>
    </xf>
    <xf numFmtId="184" fontId="1" fillId="0" borderId="4" xfId="1" applyNumberFormat="1" applyFont="1" applyFill="1" applyBorder="1" applyAlignment="1">
      <alignment horizontal="center" vertical="center"/>
    </xf>
    <xf numFmtId="184" fontId="1" fillId="4" borderId="3" xfId="1" applyNumberFormat="1" applyFont="1" applyFill="1" applyBorder="1" applyAlignment="1">
      <alignment horizontal="center" vertical="center"/>
    </xf>
    <xf numFmtId="184" fontId="1" fillId="4" borderId="4" xfId="1" applyNumberFormat="1" applyFont="1" applyFill="1" applyBorder="1" applyAlignment="1">
      <alignment horizontal="center" vertical="center"/>
    </xf>
    <xf numFmtId="184" fontId="1" fillId="0" borderId="5" xfId="1" applyNumberFormat="1" applyFont="1" applyFill="1" applyBorder="1" applyAlignment="1">
      <alignment horizontal="center" vertical="center"/>
    </xf>
    <xf numFmtId="184" fontId="1" fillId="0" borderId="6" xfId="1" applyNumberFormat="1" applyFont="1" applyFill="1" applyBorder="1" applyAlignment="1">
      <alignment horizontal="center" vertical="center"/>
    </xf>
    <xf numFmtId="184" fontId="1" fillId="2" borderId="0" xfId="1" applyNumberFormat="1" applyFont="1" applyFill="1" applyAlignment="1">
      <alignment horizontal="center" vertical="center"/>
    </xf>
    <xf numFmtId="184" fontId="1" fillId="3" borderId="0" xfId="1" applyNumberFormat="1" applyFont="1" applyFill="1" applyAlignment="1">
      <alignment horizontal="center" vertical="center"/>
    </xf>
    <xf numFmtId="184" fontId="1" fillId="0" borderId="0" xfId="1" applyNumberFormat="1" applyFont="1" applyFill="1" applyAlignment="1">
      <alignment horizontal="center" vertical="center"/>
    </xf>
    <xf numFmtId="184" fontId="1" fillId="4" borderId="0" xfId="1" applyNumberFormat="1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endy/4.%20&#36816;&#33829;&#25903;&#25345;/1.%20&#26376;&#24230;&#25351;&#26631;&#21450;&#36861;&#36394;/7&#26376;/&#20581;&#24247;&#31649;&#29702;&#20154;&#23458;&#21333;&amp;&#20154;&#2742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t"/>
    </sheetNames>
    <sheetDataSet>
      <sheetData sheetId="0">
        <row r="68">
          <cell r="B68" t="str">
            <v>张馨丹</v>
          </cell>
          <cell r="F68">
            <v>3849.6849999999999</v>
          </cell>
          <cell r="G68">
            <v>100</v>
          </cell>
          <cell r="H68">
            <v>384.96850000000001</v>
          </cell>
          <cell r="AM68">
            <v>3985.3404347826099</v>
          </cell>
          <cell r="AP68">
            <v>5858.4548837209304</v>
          </cell>
        </row>
        <row r="69">
          <cell r="B69" t="str">
            <v>王梦瑶</v>
          </cell>
          <cell r="F69">
            <v>2503.7566666666698</v>
          </cell>
          <cell r="G69">
            <v>3</v>
          </cell>
          <cell r="H69">
            <v>7.5112699999999997</v>
          </cell>
          <cell r="AP69">
            <v>2989.5169696969701</v>
          </cell>
        </row>
        <row r="70">
          <cell r="B70" t="str">
            <v>季玉</v>
          </cell>
          <cell r="H70">
            <v>0</v>
          </cell>
          <cell r="AM70">
            <v>14006.272499999999</v>
          </cell>
          <cell r="AP70">
            <v>6421.6724137931096</v>
          </cell>
        </row>
        <row r="71">
          <cell r="B71" t="str">
            <v>周佳丽</v>
          </cell>
          <cell r="F71">
            <v>6039.165</v>
          </cell>
          <cell r="G71">
            <v>2</v>
          </cell>
          <cell r="H71">
            <v>12.078329999999999</v>
          </cell>
          <cell r="AM71">
            <v>25126.1</v>
          </cell>
          <cell r="AP71">
            <v>6465.8195833333302</v>
          </cell>
        </row>
        <row r="72">
          <cell r="B72" t="str">
            <v>冯娟</v>
          </cell>
          <cell r="F72">
            <v>2909.8</v>
          </cell>
          <cell r="G72">
            <v>1</v>
          </cell>
          <cell r="H72">
            <v>2.9098000000000002</v>
          </cell>
          <cell r="AP72">
            <v>4675.7037499999997</v>
          </cell>
        </row>
        <row r="73">
          <cell r="B73" t="str">
            <v>王柳</v>
          </cell>
          <cell r="F73">
            <v>949</v>
          </cell>
          <cell r="G73">
            <v>1</v>
          </cell>
          <cell r="H73">
            <v>0.94899999999999995</v>
          </cell>
          <cell r="AM73">
            <v>24499</v>
          </cell>
          <cell r="AP73">
            <v>5470.9012499999999</v>
          </cell>
        </row>
        <row r="74">
          <cell r="B74" t="str">
            <v>张娜</v>
          </cell>
          <cell r="F74">
            <v>2073.9833333333299</v>
          </cell>
          <cell r="G74">
            <v>3</v>
          </cell>
          <cell r="H74">
            <v>6.2219499999999996</v>
          </cell>
          <cell r="AP74">
            <v>4778.6857142857098</v>
          </cell>
        </row>
        <row r="75">
          <cell r="B75" t="str">
            <v>路萍</v>
          </cell>
          <cell r="AP75">
            <v>7089.8516666666701</v>
          </cell>
        </row>
        <row r="76">
          <cell r="B76" t="str">
            <v>许鑫悦</v>
          </cell>
          <cell r="AP76">
            <v>2475.2350000000001</v>
          </cell>
        </row>
        <row r="77">
          <cell r="B77" t="str">
            <v>张婧怡</v>
          </cell>
          <cell r="AP77">
            <v>15612.5</v>
          </cell>
        </row>
        <row r="78">
          <cell r="AM78">
            <v>1984.83</v>
          </cell>
          <cell r="AP78">
            <v>1984.83</v>
          </cell>
        </row>
        <row r="79">
          <cell r="B79" t="str">
            <v>韩菁</v>
          </cell>
          <cell r="AP79">
            <v>9691.99</v>
          </cell>
        </row>
        <row r="80">
          <cell r="B80" t="str">
            <v>季燕艺</v>
          </cell>
          <cell r="AP80">
            <v>1000</v>
          </cell>
        </row>
        <row r="81">
          <cell r="B81" t="str">
            <v>李乃浩</v>
          </cell>
          <cell r="AP81">
            <v>3333</v>
          </cell>
        </row>
        <row r="82">
          <cell r="B82" t="str">
            <v>刘艳萍</v>
          </cell>
          <cell r="AP82">
            <v>1</v>
          </cell>
        </row>
        <row r="83">
          <cell r="B83" t="str">
            <v>占兰玲</v>
          </cell>
          <cell r="AP83">
            <v>3300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L43"/>
  <sheetViews>
    <sheetView tabSelected="1" workbookViewId="0">
      <pane xSplit="2" ySplit="4" topLeftCell="X5" activePane="bottomRight" state="frozen"/>
      <selection pane="topRight"/>
      <selection pane="bottomLeft"/>
      <selection pane="bottomRight" activeCell="AJ10" sqref="AJ10"/>
    </sheetView>
  </sheetViews>
  <sheetFormatPr defaultColWidth="9.08984375" defaultRowHeight="13"/>
  <cols>
    <col min="1" max="1" width="9.08984375" style="5"/>
    <col min="2" max="2" width="8.1796875" style="5" customWidth="1"/>
    <col min="3" max="8" width="9.08984375" style="6" customWidth="1"/>
    <col min="9" max="10" width="9.08984375" style="5" customWidth="1"/>
    <col min="11" max="11" width="10.6328125" style="5" customWidth="1"/>
    <col min="12" max="12" width="7" style="5" customWidth="1"/>
    <col min="13" max="20" width="7.453125" style="6" customWidth="1"/>
    <col min="21" max="22" width="6.453125" style="7" customWidth="1"/>
    <col min="23" max="24" width="6.453125" style="5" customWidth="1"/>
    <col min="25" max="25" width="8.26953125" style="127" customWidth="1"/>
    <col min="26" max="26" width="18" style="127" customWidth="1"/>
    <col min="27" max="27" width="17.81640625" style="5" customWidth="1"/>
    <col min="28" max="28" width="7" style="5" customWidth="1"/>
    <col min="29" max="30" width="5.1796875" style="5" customWidth="1"/>
    <col min="31" max="31" width="7" style="5" customWidth="1"/>
    <col min="32" max="32" width="9.08984375" style="5"/>
    <col min="33" max="33" width="14.453125" style="8" customWidth="1"/>
    <col min="34" max="34" width="11.90625" style="8" customWidth="1"/>
    <col min="35" max="35" width="7.90625" style="8" customWidth="1"/>
    <col min="36" max="37" width="9.08984375" style="5"/>
    <col min="38" max="38" width="11" style="127" bestFit="1" customWidth="1"/>
    <col min="39" max="16384" width="9.08984375" style="5"/>
  </cols>
  <sheetData>
    <row r="2" spans="1:38">
      <c r="A2" s="118" t="s">
        <v>0</v>
      </c>
      <c r="B2" s="120" t="s">
        <v>1</v>
      </c>
      <c r="C2" s="97" t="s">
        <v>2</v>
      </c>
      <c r="D2" s="97"/>
      <c r="E2" s="97"/>
      <c r="F2" s="97"/>
      <c r="G2" s="97"/>
      <c r="H2" s="97"/>
      <c r="I2" s="98"/>
      <c r="J2" s="98"/>
      <c r="K2" s="99"/>
      <c r="L2" s="100" t="s">
        <v>3</v>
      </c>
      <c r="M2" s="101"/>
      <c r="N2" s="101"/>
      <c r="O2" s="101"/>
      <c r="P2" s="101"/>
      <c r="Q2" s="101"/>
      <c r="R2" s="101"/>
      <c r="S2" s="101"/>
      <c r="T2" s="101"/>
      <c r="U2" s="102"/>
      <c r="V2" s="102"/>
      <c r="W2" s="103"/>
      <c r="X2" s="104"/>
      <c r="Y2" s="105" t="s">
        <v>4</v>
      </c>
      <c r="Z2" s="106"/>
      <c r="AA2" s="106"/>
      <c r="AB2" s="106"/>
      <c r="AC2" s="106"/>
      <c r="AD2" s="106"/>
      <c r="AE2" s="107"/>
      <c r="AG2" s="8" t="s">
        <v>5</v>
      </c>
    </row>
    <row r="3" spans="1:38">
      <c r="A3" s="119"/>
      <c r="B3" s="121"/>
      <c r="C3" s="108" t="s">
        <v>6</v>
      </c>
      <c r="D3" s="9" t="s">
        <v>7</v>
      </c>
      <c r="E3" s="108" t="s">
        <v>8</v>
      </c>
      <c r="F3" s="108"/>
      <c r="G3" s="108"/>
      <c r="H3" s="108" t="s">
        <v>9</v>
      </c>
      <c r="I3" s="109"/>
      <c r="J3" s="109" t="s">
        <v>10</v>
      </c>
      <c r="K3" s="122" t="s">
        <v>11</v>
      </c>
      <c r="L3" s="123" t="s">
        <v>0</v>
      </c>
      <c r="M3" s="110" t="s">
        <v>7</v>
      </c>
      <c r="N3" s="111"/>
      <c r="O3" s="112" t="s">
        <v>8</v>
      </c>
      <c r="P3" s="112"/>
      <c r="Q3" s="112"/>
      <c r="R3" s="112"/>
      <c r="S3" s="112"/>
      <c r="T3" s="112"/>
      <c r="U3" s="113" t="s">
        <v>12</v>
      </c>
      <c r="V3" s="114"/>
      <c r="W3" s="113"/>
      <c r="X3" s="115"/>
      <c r="Y3" s="128" t="s">
        <v>0</v>
      </c>
      <c r="Z3" s="116" t="s">
        <v>13</v>
      </c>
      <c r="AA3" s="117"/>
      <c r="AB3" s="113" t="s">
        <v>12</v>
      </c>
      <c r="AC3" s="114"/>
      <c r="AD3" s="113"/>
      <c r="AE3" s="115"/>
      <c r="AG3" s="125" t="s">
        <v>0</v>
      </c>
    </row>
    <row r="4" spans="1:38" ht="27" customHeight="1">
      <c r="A4" s="119"/>
      <c r="B4" s="121"/>
      <c r="C4" s="108"/>
      <c r="D4" s="9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9" t="s">
        <v>19</v>
      </c>
      <c r="J4" s="109"/>
      <c r="K4" s="122"/>
      <c r="L4" s="124"/>
      <c r="M4" s="33" t="s">
        <v>14</v>
      </c>
      <c r="N4" s="33" t="s">
        <v>20</v>
      </c>
      <c r="O4" s="33" t="s">
        <v>15</v>
      </c>
      <c r="P4" s="33" t="s">
        <v>20</v>
      </c>
      <c r="Q4" s="33" t="s">
        <v>16</v>
      </c>
      <c r="R4" s="33" t="s">
        <v>20</v>
      </c>
      <c r="S4" s="33" t="s">
        <v>17</v>
      </c>
      <c r="T4" s="33" t="s">
        <v>20</v>
      </c>
      <c r="U4" s="32" t="s">
        <v>21</v>
      </c>
      <c r="V4" s="9" t="s">
        <v>22</v>
      </c>
      <c r="W4" s="32" t="s">
        <v>23</v>
      </c>
      <c r="X4" s="58" t="s">
        <v>24</v>
      </c>
      <c r="Y4" s="129"/>
      <c r="Z4" s="130" t="s">
        <v>14</v>
      </c>
      <c r="AA4" s="74" t="s">
        <v>15</v>
      </c>
      <c r="AB4" s="32" t="s">
        <v>21</v>
      </c>
      <c r="AC4" s="9" t="s">
        <v>22</v>
      </c>
      <c r="AD4" s="32" t="s">
        <v>23</v>
      </c>
      <c r="AE4" s="58" t="s">
        <v>24</v>
      </c>
      <c r="AG4" s="126"/>
      <c r="AH4" s="83" t="s">
        <v>14</v>
      </c>
      <c r="AI4" s="83" t="s">
        <v>15</v>
      </c>
    </row>
    <row r="5" spans="1:38" s="1" customFormat="1" ht="16.5">
      <c r="A5" s="10" t="s">
        <v>25</v>
      </c>
      <c r="B5" s="11">
        <v>45901</v>
      </c>
      <c r="C5" s="12" t="s">
        <v>26</v>
      </c>
      <c r="D5" s="12" t="s">
        <v>26</v>
      </c>
      <c r="E5" s="12" t="s">
        <v>26</v>
      </c>
      <c r="F5" s="12" t="s">
        <v>26</v>
      </c>
      <c r="G5" s="12" t="s">
        <v>26</v>
      </c>
      <c r="H5" s="12" t="s">
        <v>26</v>
      </c>
      <c r="I5" s="12" t="s">
        <v>27</v>
      </c>
      <c r="J5" s="12"/>
      <c r="K5" s="34"/>
      <c r="L5" s="35" t="s">
        <v>25</v>
      </c>
      <c r="M5" s="36">
        <v>0</v>
      </c>
      <c r="N5" s="37"/>
      <c r="O5" s="36">
        <v>0</v>
      </c>
      <c r="P5" s="37"/>
      <c r="Q5" s="36">
        <v>0</v>
      </c>
      <c r="R5" s="37"/>
      <c r="S5" s="36">
        <v>0</v>
      </c>
      <c r="T5" s="37"/>
      <c r="U5" s="59"/>
      <c r="V5" s="59"/>
      <c r="W5" s="59"/>
      <c r="X5" s="60"/>
      <c r="Y5" s="131">
        <v>0</v>
      </c>
      <c r="Z5" s="132">
        <v>0</v>
      </c>
      <c r="AA5" s="68">
        <v>0</v>
      </c>
      <c r="AB5" s="59"/>
      <c r="AC5" s="59"/>
      <c r="AD5" s="59"/>
      <c r="AE5" s="60"/>
      <c r="AF5" s="75" t="s">
        <v>29</v>
      </c>
      <c r="AG5" s="84" t="str">
        <f t="shared" ref="AG5:AG34" si="0">IF(SUM(AH5:AJ5)=0,IF(AE5="全员培训",AE5,"闭店"),SUM(AH5:AJ5))</f>
        <v>闭店</v>
      </c>
      <c r="AH5" s="85" t="str">
        <f>IF(Z5&lt;&gt;0,IF(Z5&lt;&gt;"全员培训",IF(Z5&lt;&gt;"手术",INT(Z5/AH$43+0.5),""),""),"")</f>
        <v/>
      </c>
      <c r="AI5" s="85" t="str">
        <f>IF(AA5&lt;&gt;0,IF(AA5&lt;&gt;"全员培训",IF(AA5&lt;&gt;"手术",INT(AA5/AI$43+0.5),""),""),"")</f>
        <v/>
      </c>
      <c r="AL5" s="143"/>
    </row>
    <row r="6" spans="1:38" ht="14.5">
      <c r="A6" s="13" t="s">
        <v>25</v>
      </c>
      <c r="B6" s="14">
        <v>45902</v>
      </c>
      <c r="C6" s="15" t="s">
        <v>28</v>
      </c>
      <c r="D6" s="16" t="s">
        <v>28</v>
      </c>
      <c r="E6" s="15" t="s">
        <v>26</v>
      </c>
      <c r="F6" s="15" t="s">
        <v>26</v>
      </c>
      <c r="G6" s="15" t="s">
        <v>28</v>
      </c>
      <c r="H6" s="15" t="s">
        <v>28</v>
      </c>
      <c r="I6" s="15" t="s">
        <v>27</v>
      </c>
      <c r="J6" s="15"/>
      <c r="K6" s="38" t="s">
        <v>30</v>
      </c>
      <c r="L6" s="39" t="s">
        <v>25</v>
      </c>
      <c r="M6" s="40">
        <v>12000</v>
      </c>
      <c r="N6" s="41"/>
      <c r="O6" s="40">
        <v>0</v>
      </c>
      <c r="P6" s="41"/>
      <c r="Q6" s="40">
        <v>0</v>
      </c>
      <c r="R6" s="41"/>
      <c r="S6" s="40">
        <v>500</v>
      </c>
      <c r="T6" s="41"/>
      <c r="U6" s="61"/>
      <c r="V6" s="61"/>
      <c r="W6" s="61"/>
      <c r="X6" s="62" t="s">
        <v>28</v>
      </c>
      <c r="Y6" s="133">
        <f>SUM(Z6:AA6)</f>
        <v>10000</v>
      </c>
      <c r="Z6" s="134">
        <v>10000</v>
      </c>
      <c r="AA6" s="76">
        <v>0</v>
      </c>
      <c r="AB6" s="61"/>
      <c r="AC6" s="61"/>
      <c r="AD6" s="61"/>
      <c r="AE6" s="62" t="s">
        <v>28</v>
      </c>
      <c r="AF6" s="77" t="s">
        <v>31</v>
      </c>
      <c r="AG6" s="86">
        <f t="shared" si="0"/>
        <v>3</v>
      </c>
      <c r="AH6" s="87">
        <f t="shared" ref="AH6:AH34" si="1">IF(Z6&lt;&gt;0,IF(Z6&lt;&gt;"全员培训",IF(Z6&lt;&gt;"手术",INT(Z6/AH$43+0.5),""),""),"")</f>
        <v>3</v>
      </c>
      <c r="AI6" s="87" t="str">
        <f t="shared" ref="AI6:AI34" si="2">IF(AA6&lt;&gt;0,IF(AA6&lt;&gt;"全员培训",IF(AA6&lt;&gt;"手术",INT(AA6/AI$43+0.5),""),""),"")</f>
        <v/>
      </c>
    </row>
    <row r="7" spans="1:38" s="2" customFormat="1">
      <c r="A7" s="17" t="s">
        <v>25</v>
      </c>
      <c r="B7" s="18">
        <v>45903</v>
      </c>
      <c r="C7" s="19" t="s">
        <v>28</v>
      </c>
      <c r="D7" s="20" t="s">
        <v>28</v>
      </c>
      <c r="E7" s="19" t="s">
        <v>28</v>
      </c>
      <c r="F7" s="19" t="s">
        <v>28</v>
      </c>
      <c r="G7" s="19" t="s">
        <v>28</v>
      </c>
      <c r="H7" s="19" t="s">
        <v>28</v>
      </c>
      <c r="I7" s="19" t="s">
        <v>27</v>
      </c>
      <c r="J7" s="19" t="s">
        <v>32</v>
      </c>
      <c r="K7" s="42"/>
      <c r="L7" s="43" t="s">
        <v>25</v>
      </c>
      <c r="M7" s="44">
        <v>150000</v>
      </c>
      <c r="N7" s="19"/>
      <c r="O7" s="19">
        <v>800</v>
      </c>
      <c r="P7" s="19"/>
      <c r="Q7" s="44">
        <v>500</v>
      </c>
      <c r="R7" s="19"/>
      <c r="S7" s="19">
        <v>500</v>
      </c>
      <c r="T7" s="19"/>
      <c r="U7" s="63" t="s">
        <v>49</v>
      </c>
      <c r="V7" s="63"/>
      <c r="W7" s="63"/>
      <c r="X7" s="64" t="s">
        <v>28</v>
      </c>
      <c r="Y7" s="135">
        <f t="shared" ref="Y7:Y13" si="3">SUM(Z7:AA7)</f>
        <v>100000</v>
      </c>
      <c r="Z7" s="136">
        <v>100000</v>
      </c>
      <c r="AA7" s="78">
        <v>0</v>
      </c>
      <c r="AB7" s="63" t="s">
        <v>28</v>
      </c>
      <c r="AC7" s="63" t="s">
        <v>28</v>
      </c>
      <c r="AD7" s="63"/>
      <c r="AE7" s="64" t="s">
        <v>28</v>
      </c>
      <c r="AF7" s="19" t="s">
        <v>33</v>
      </c>
      <c r="AG7" s="88">
        <f t="shared" si="0"/>
        <v>15</v>
      </c>
      <c r="AH7" s="89">
        <v>15</v>
      </c>
      <c r="AI7" s="89" t="str">
        <f t="shared" si="2"/>
        <v/>
      </c>
      <c r="AL7" s="144"/>
    </row>
    <row r="8" spans="1:38" s="3" customFormat="1">
      <c r="A8" s="21" t="s">
        <v>25</v>
      </c>
      <c r="B8" s="22">
        <v>45904</v>
      </c>
      <c r="C8" s="15" t="s">
        <v>28</v>
      </c>
      <c r="D8" s="16" t="s">
        <v>26</v>
      </c>
      <c r="E8" s="15" t="s">
        <v>28</v>
      </c>
      <c r="F8" s="15" t="s">
        <v>28</v>
      </c>
      <c r="G8" s="15" t="s">
        <v>26</v>
      </c>
      <c r="H8" s="15" t="s">
        <v>26</v>
      </c>
      <c r="I8" s="23" t="s">
        <v>27</v>
      </c>
      <c r="J8" s="23"/>
      <c r="K8" s="38"/>
      <c r="L8" s="45" t="s">
        <v>25</v>
      </c>
      <c r="M8" s="23">
        <v>12000</v>
      </c>
      <c r="N8" s="23"/>
      <c r="O8" s="46">
        <v>500</v>
      </c>
      <c r="P8" s="23"/>
      <c r="Q8" s="46">
        <v>500</v>
      </c>
      <c r="R8" s="23"/>
      <c r="S8" s="23">
        <v>0</v>
      </c>
      <c r="T8" s="47"/>
      <c r="U8" s="65"/>
      <c r="V8" s="65" t="s">
        <v>28</v>
      </c>
      <c r="W8" s="65"/>
      <c r="X8" s="66"/>
      <c r="Y8" s="137">
        <f t="shared" si="3"/>
        <v>15000</v>
      </c>
      <c r="Z8" s="134">
        <v>10000</v>
      </c>
      <c r="AA8" s="67">
        <v>5000</v>
      </c>
      <c r="AB8" s="65"/>
      <c r="AC8" s="65" t="s">
        <v>28</v>
      </c>
      <c r="AD8" s="65"/>
      <c r="AE8" s="66"/>
      <c r="AF8" s="77" t="s">
        <v>34</v>
      </c>
      <c r="AG8" s="49">
        <f t="shared" si="0"/>
        <v>4</v>
      </c>
      <c r="AH8" s="90">
        <f t="shared" si="1"/>
        <v>3</v>
      </c>
      <c r="AI8" s="90">
        <f t="shared" si="2"/>
        <v>1</v>
      </c>
      <c r="AL8" s="145"/>
    </row>
    <row r="9" spans="1:38" s="3" customFormat="1">
      <c r="A9" s="21" t="s">
        <v>25</v>
      </c>
      <c r="B9" s="22">
        <v>45905</v>
      </c>
      <c r="C9" s="15" t="s">
        <v>28</v>
      </c>
      <c r="D9" s="16" t="s">
        <v>28</v>
      </c>
      <c r="E9" s="15" t="s">
        <v>26</v>
      </c>
      <c r="F9" s="15" t="s">
        <v>28</v>
      </c>
      <c r="G9" s="15" t="s">
        <v>28</v>
      </c>
      <c r="H9" s="15" t="s">
        <v>28</v>
      </c>
      <c r="I9" s="23" t="s">
        <v>27</v>
      </c>
      <c r="J9" s="23"/>
      <c r="K9" s="38"/>
      <c r="L9" s="45" t="s">
        <v>25</v>
      </c>
      <c r="M9" s="46">
        <v>30000</v>
      </c>
      <c r="N9" s="23"/>
      <c r="O9" s="46">
        <v>0</v>
      </c>
      <c r="P9" s="23"/>
      <c r="Q9" s="46">
        <v>500</v>
      </c>
      <c r="R9" s="23"/>
      <c r="S9" s="23">
        <v>500</v>
      </c>
      <c r="T9" s="23"/>
      <c r="U9" s="65"/>
      <c r="V9" s="65" t="s">
        <v>28</v>
      </c>
      <c r="W9" s="65"/>
      <c r="X9" s="66"/>
      <c r="Y9" s="137">
        <f t="shared" si="3"/>
        <v>26000</v>
      </c>
      <c r="Z9" s="138">
        <v>26000</v>
      </c>
      <c r="AA9" s="67">
        <v>0</v>
      </c>
      <c r="AB9" s="65"/>
      <c r="AC9" s="65" t="s">
        <v>28</v>
      </c>
      <c r="AD9" s="65"/>
      <c r="AE9" s="66"/>
      <c r="AF9" s="77" t="s">
        <v>35</v>
      </c>
      <c r="AG9" s="49">
        <f t="shared" si="0"/>
        <v>7</v>
      </c>
      <c r="AH9" s="90">
        <f t="shared" si="1"/>
        <v>7</v>
      </c>
      <c r="AI9" s="90" t="str">
        <f t="shared" si="2"/>
        <v/>
      </c>
      <c r="AL9" s="145"/>
    </row>
    <row r="10" spans="1:38" s="3" customFormat="1">
      <c r="A10" s="21" t="s">
        <v>25</v>
      </c>
      <c r="B10" s="22">
        <v>45906</v>
      </c>
      <c r="C10" s="15" t="s">
        <v>28</v>
      </c>
      <c r="D10" s="16" t="s">
        <v>28</v>
      </c>
      <c r="E10" s="15" t="s">
        <v>28</v>
      </c>
      <c r="F10" s="15" t="s">
        <v>28</v>
      </c>
      <c r="G10" s="15" t="s">
        <v>28</v>
      </c>
      <c r="H10" s="15" t="s">
        <v>28</v>
      </c>
      <c r="I10" s="23" t="s">
        <v>27</v>
      </c>
      <c r="J10" s="23"/>
      <c r="K10" s="38"/>
      <c r="L10" s="45" t="s">
        <v>25</v>
      </c>
      <c r="M10" s="23">
        <v>55000</v>
      </c>
      <c r="N10" s="47"/>
      <c r="O10" s="46">
        <v>500</v>
      </c>
      <c r="P10" s="23"/>
      <c r="Q10" s="23">
        <v>500</v>
      </c>
      <c r="R10" s="23"/>
      <c r="S10" s="23">
        <v>500</v>
      </c>
      <c r="T10" s="47"/>
      <c r="U10" s="65"/>
      <c r="V10" s="65" t="s">
        <v>28</v>
      </c>
      <c r="W10" s="65"/>
      <c r="X10" s="66"/>
      <c r="Y10" s="137">
        <f t="shared" si="3"/>
        <v>45000</v>
      </c>
      <c r="Z10" s="138">
        <v>45000</v>
      </c>
      <c r="AA10" s="67">
        <v>0</v>
      </c>
      <c r="AB10" s="65"/>
      <c r="AC10" s="65" t="s">
        <v>28</v>
      </c>
      <c r="AD10" s="65"/>
      <c r="AE10" s="66"/>
      <c r="AF10" s="77" t="s">
        <v>36</v>
      </c>
      <c r="AG10" s="49">
        <f t="shared" si="0"/>
        <v>12</v>
      </c>
      <c r="AH10" s="90">
        <f t="shared" si="1"/>
        <v>12</v>
      </c>
      <c r="AI10" s="90" t="str">
        <f t="shared" si="2"/>
        <v/>
      </c>
      <c r="AL10" s="145"/>
    </row>
    <row r="11" spans="1:38" s="3" customFormat="1">
      <c r="A11" s="21" t="s">
        <v>25</v>
      </c>
      <c r="B11" s="22">
        <v>45907</v>
      </c>
      <c r="C11" s="15" t="s">
        <v>28</v>
      </c>
      <c r="D11" s="16" t="s">
        <v>28</v>
      </c>
      <c r="E11" s="15" t="s">
        <v>28</v>
      </c>
      <c r="F11" s="15" t="s">
        <v>28</v>
      </c>
      <c r="G11" s="15" t="s">
        <v>28</v>
      </c>
      <c r="H11" s="15" t="s">
        <v>28</v>
      </c>
      <c r="I11" s="23" t="s">
        <v>27</v>
      </c>
      <c r="J11" s="23"/>
      <c r="K11" s="38"/>
      <c r="L11" s="45" t="s">
        <v>25</v>
      </c>
      <c r="M11" s="23">
        <v>38000</v>
      </c>
      <c r="N11" s="23"/>
      <c r="O11" s="46">
        <v>500</v>
      </c>
      <c r="P11" s="23"/>
      <c r="Q11" s="23">
        <v>500</v>
      </c>
      <c r="R11" s="23"/>
      <c r="S11" s="23">
        <v>500</v>
      </c>
      <c r="T11" s="23"/>
      <c r="U11" s="67"/>
      <c r="V11" s="67" t="s">
        <v>28</v>
      </c>
      <c r="W11" s="67"/>
      <c r="X11" s="38"/>
      <c r="Y11" s="137">
        <f t="shared" si="3"/>
        <v>45000</v>
      </c>
      <c r="Z11" s="138">
        <v>30000</v>
      </c>
      <c r="AA11" s="67">
        <v>15000</v>
      </c>
      <c r="AB11" s="67"/>
      <c r="AC11" s="67" t="s">
        <v>28</v>
      </c>
      <c r="AD11" s="67"/>
      <c r="AE11" s="38"/>
      <c r="AF11" s="77" t="s">
        <v>37</v>
      </c>
      <c r="AG11" s="49">
        <f t="shared" si="0"/>
        <v>10</v>
      </c>
      <c r="AH11" s="90">
        <f t="shared" si="1"/>
        <v>8</v>
      </c>
      <c r="AI11" s="90">
        <f t="shared" si="2"/>
        <v>2</v>
      </c>
      <c r="AL11" s="145"/>
    </row>
    <row r="12" spans="1:38" s="1" customFormat="1">
      <c r="A12" s="10" t="s">
        <v>25</v>
      </c>
      <c r="B12" s="11">
        <v>45908</v>
      </c>
      <c r="C12" s="12" t="s">
        <v>26</v>
      </c>
      <c r="D12" s="12" t="s">
        <v>26</v>
      </c>
      <c r="E12" s="12" t="s">
        <v>26</v>
      </c>
      <c r="F12" s="12" t="s">
        <v>26</v>
      </c>
      <c r="G12" s="12" t="s">
        <v>26</v>
      </c>
      <c r="H12" s="12" t="s">
        <v>26</v>
      </c>
      <c r="I12" s="12" t="s">
        <v>27</v>
      </c>
      <c r="J12" s="12"/>
      <c r="K12" s="34"/>
      <c r="L12" s="35" t="s">
        <v>25</v>
      </c>
      <c r="M12" s="12">
        <v>0</v>
      </c>
      <c r="N12" s="12"/>
      <c r="O12" s="12">
        <v>0</v>
      </c>
      <c r="P12" s="12"/>
      <c r="Q12" s="36">
        <v>0</v>
      </c>
      <c r="R12" s="12"/>
      <c r="S12" s="12">
        <v>0</v>
      </c>
      <c r="T12" s="12"/>
      <c r="U12" s="68"/>
      <c r="V12" s="68"/>
      <c r="W12" s="68"/>
      <c r="X12" s="34"/>
      <c r="Y12" s="131">
        <v>0</v>
      </c>
      <c r="Z12" s="132">
        <v>0</v>
      </c>
      <c r="AA12" s="68">
        <v>0</v>
      </c>
      <c r="AB12" s="68"/>
      <c r="AC12" s="68"/>
      <c r="AD12" s="68"/>
      <c r="AE12" s="34"/>
      <c r="AF12" s="75" t="s">
        <v>29</v>
      </c>
      <c r="AG12" s="84" t="str">
        <f t="shared" si="0"/>
        <v>闭店</v>
      </c>
      <c r="AH12" s="85" t="str">
        <f t="shared" si="1"/>
        <v/>
      </c>
      <c r="AI12" s="85" t="str">
        <f t="shared" si="2"/>
        <v/>
      </c>
      <c r="AL12" s="143"/>
    </row>
    <row r="13" spans="1:38" s="3" customFormat="1" ht="14.5">
      <c r="A13" s="21" t="s">
        <v>25</v>
      </c>
      <c r="B13" s="22">
        <v>45909</v>
      </c>
      <c r="C13" s="23" t="s">
        <v>26</v>
      </c>
      <c r="D13" s="16" t="s">
        <v>28</v>
      </c>
      <c r="E13" s="23" t="s">
        <v>26</v>
      </c>
      <c r="F13" s="23" t="s">
        <v>28</v>
      </c>
      <c r="G13" s="23" t="s">
        <v>26</v>
      </c>
      <c r="H13" s="23" t="s">
        <v>28</v>
      </c>
      <c r="I13" s="23" t="s">
        <v>27</v>
      </c>
      <c r="J13" s="23"/>
      <c r="K13" s="38"/>
      <c r="L13" s="45" t="s">
        <v>25</v>
      </c>
      <c r="M13" s="23">
        <v>18000</v>
      </c>
      <c r="N13" s="48"/>
      <c r="O13" s="46">
        <v>0</v>
      </c>
      <c r="P13" s="48"/>
      <c r="Q13" s="46">
        <v>500</v>
      </c>
      <c r="R13" s="48"/>
      <c r="S13" s="46">
        <v>0</v>
      </c>
      <c r="T13" s="48"/>
      <c r="U13" s="67"/>
      <c r="V13" s="67" t="s">
        <v>28</v>
      </c>
      <c r="W13" s="67"/>
      <c r="X13" s="38"/>
      <c r="Y13" s="137">
        <f t="shared" si="3"/>
        <v>15000</v>
      </c>
      <c r="Z13" s="134">
        <v>15000</v>
      </c>
      <c r="AA13" s="67">
        <v>0</v>
      </c>
      <c r="AB13" s="67"/>
      <c r="AC13" s="67" t="s">
        <v>28</v>
      </c>
      <c r="AD13" s="67"/>
      <c r="AE13" s="38"/>
      <c r="AF13" s="77" t="s">
        <v>31</v>
      </c>
      <c r="AG13" s="49">
        <f t="shared" si="0"/>
        <v>5</v>
      </c>
      <c r="AH13" s="90">
        <v>5</v>
      </c>
      <c r="AI13" s="90" t="str">
        <f t="shared" si="2"/>
        <v/>
      </c>
      <c r="AL13" s="145"/>
    </row>
    <row r="14" spans="1:38" s="3" customFormat="1">
      <c r="A14" s="21" t="s">
        <v>25</v>
      </c>
      <c r="B14" s="22">
        <v>45910</v>
      </c>
      <c r="C14" s="23" t="s">
        <v>28</v>
      </c>
      <c r="D14" s="16" t="s">
        <v>28</v>
      </c>
      <c r="E14" s="23" t="s">
        <v>28</v>
      </c>
      <c r="F14" s="23" t="s">
        <v>26</v>
      </c>
      <c r="G14" s="23" t="s">
        <v>28</v>
      </c>
      <c r="H14" s="23" t="s">
        <v>28</v>
      </c>
      <c r="I14" s="23" t="s">
        <v>27</v>
      </c>
      <c r="J14" s="23"/>
      <c r="K14" s="38"/>
      <c r="L14" s="45" t="s">
        <v>25</v>
      </c>
      <c r="M14" s="23">
        <v>25000</v>
      </c>
      <c r="N14" s="23"/>
      <c r="O14" s="46">
        <v>500</v>
      </c>
      <c r="P14" s="46"/>
      <c r="Q14" s="23">
        <v>0</v>
      </c>
      <c r="R14" s="23"/>
      <c r="S14" s="23">
        <v>500</v>
      </c>
      <c r="T14" s="23"/>
      <c r="U14" s="67"/>
      <c r="V14" s="67" t="s">
        <v>28</v>
      </c>
      <c r="W14" s="67"/>
      <c r="X14" s="38"/>
      <c r="Y14" s="137">
        <f t="shared" ref="Y14:Y27" si="4">SUM(Z14:AA14)</f>
        <v>26000</v>
      </c>
      <c r="Z14" s="138">
        <v>26000</v>
      </c>
      <c r="AA14" s="67">
        <v>0</v>
      </c>
      <c r="AB14" s="67"/>
      <c r="AC14" s="67" t="s">
        <v>28</v>
      </c>
      <c r="AD14" s="67"/>
      <c r="AE14" s="38"/>
      <c r="AF14" s="23" t="s">
        <v>33</v>
      </c>
      <c r="AG14" s="49">
        <f t="shared" si="0"/>
        <v>8</v>
      </c>
      <c r="AH14" s="90">
        <v>8</v>
      </c>
      <c r="AI14" s="90" t="str">
        <f t="shared" si="2"/>
        <v/>
      </c>
      <c r="AL14" s="145"/>
    </row>
    <row r="15" spans="1:38" s="3" customFormat="1">
      <c r="A15" s="21" t="s">
        <v>25</v>
      </c>
      <c r="B15" s="14">
        <v>45911</v>
      </c>
      <c r="C15" s="23" t="s">
        <v>28</v>
      </c>
      <c r="D15" s="16" t="s">
        <v>26</v>
      </c>
      <c r="E15" s="23" t="s">
        <v>28</v>
      </c>
      <c r="F15" s="23" t="s">
        <v>28</v>
      </c>
      <c r="G15" s="23" t="s">
        <v>28</v>
      </c>
      <c r="H15" s="23" t="s">
        <v>28</v>
      </c>
      <c r="I15" s="23" t="s">
        <v>27</v>
      </c>
      <c r="J15" s="23"/>
      <c r="K15" s="38" t="s">
        <v>38</v>
      </c>
      <c r="L15" s="45" t="s">
        <v>25</v>
      </c>
      <c r="M15" s="23">
        <v>10000</v>
      </c>
      <c r="N15" s="23"/>
      <c r="O15" s="46">
        <v>200</v>
      </c>
      <c r="P15" s="23"/>
      <c r="Q15" s="46">
        <v>500</v>
      </c>
      <c r="R15" s="23"/>
      <c r="S15" s="23">
        <v>500</v>
      </c>
      <c r="T15" s="47"/>
      <c r="U15" s="67"/>
      <c r="V15" s="67"/>
      <c r="W15" s="67"/>
      <c r="X15" s="62" t="s">
        <v>28</v>
      </c>
      <c r="Y15" s="137">
        <f t="shared" si="4"/>
        <v>10000</v>
      </c>
      <c r="Z15" s="134">
        <v>10000</v>
      </c>
      <c r="AA15" s="67">
        <v>0</v>
      </c>
      <c r="AB15" s="67"/>
      <c r="AC15" s="67"/>
      <c r="AD15" s="67"/>
      <c r="AE15" s="38" t="s">
        <v>28</v>
      </c>
      <c r="AF15" s="77" t="s">
        <v>34</v>
      </c>
      <c r="AG15" s="49">
        <f t="shared" si="0"/>
        <v>3</v>
      </c>
      <c r="AH15" s="90">
        <f t="shared" si="1"/>
        <v>3</v>
      </c>
      <c r="AI15" s="90" t="str">
        <f t="shared" si="2"/>
        <v/>
      </c>
      <c r="AL15" s="145"/>
    </row>
    <row r="16" spans="1:38" s="3" customFormat="1">
      <c r="A16" s="21" t="s">
        <v>25</v>
      </c>
      <c r="B16" s="14">
        <v>45912</v>
      </c>
      <c r="C16" s="23" t="s">
        <v>26</v>
      </c>
      <c r="D16" s="16" t="s">
        <v>28</v>
      </c>
      <c r="E16" s="23" t="s">
        <v>28</v>
      </c>
      <c r="F16" s="23" t="s">
        <v>28</v>
      </c>
      <c r="G16" s="23" t="s">
        <v>28</v>
      </c>
      <c r="H16" s="23" t="s">
        <v>26</v>
      </c>
      <c r="I16" s="23" t="s">
        <v>27</v>
      </c>
      <c r="J16" s="23"/>
      <c r="K16" s="38"/>
      <c r="L16" s="45" t="s">
        <v>25</v>
      </c>
      <c r="M16" s="46">
        <v>20000</v>
      </c>
      <c r="N16" s="46"/>
      <c r="O16" s="46">
        <v>200</v>
      </c>
      <c r="P16" s="46"/>
      <c r="Q16" s="46">
        <v>500</v>
      </c>
      <c r="R16" s="46"/>
      <c r="S16" s="46">
        <v>500</v>
      </c>
      <c r="T16" s="46"/>
      <c r="U16" s="65"/>
      <c r="V16" s="67"/>
      <c r="W16" s="65"/>
      <c r="X16" s="62" t="s">
        <v>28</v>
      </c>
      <c r="Y16" s="137">
        <f t="shared" si="4"/>
        <v>10000</v>
      </c>
      <c r="Z16" s="138">
        <v>10000</v>
      </c>
      <c r="AA16" s="67">
        <v>0</v>
      </c>
      <c r="AB16" s="65"/>
      <c r="AC16" s="67"/>
      <c r="AD16" s="65"/>
      <c r="AE16" s="66" t="s">
        <v>28</v>
      </c>
      <c r="AF16" s="77" t="s">
        <v>35</v>
      </c>
      <c r="AG16" s="49">
        <f t="shared" si="0"/>
        <v>3</v>
      </c>
      <c r="AH16" s="90">
        <f t="shared" si="1"/>
        <v>3</v>
      </c>
      <c r="AI16" s="90" t="str">
        <f t="shared" si="2"/>
        <v/>
      </c>
      <c r="AL16" s="145"/>
    </row>
    <row r="17" spans="1:38" s="3" customFormat="1">
      <c r="A17" s="21" t="s">
        <v>25</v>
      </c>
      <c r="B17" s="22">
        <v>45913</v>
      </c>
      <c r="C17" s="23" t="s">
        <v>28</v>
      </c>
      <c r="D17" s="16" t="s">
        <v>28</v>
      </c>
      <c r="E17" s="23" t="s">
        <v>28</v>
      </c>
      <c r="F17" s="23" t="s">
        <v>28</v>
      </c>
      <c r="G17" s="23" t="s">
        <v>28</v>
      </c>
      <c r="H17" s="23" t="s">
        <v>28</v>
      </c>
      <c r="I17" s="23" t="s">
        <v>27</v>
      </c>
      <c r="J17" s="23"/>
      <c r="K17" s="38"/>
      <c r="L17" s="45" t="s">
        <v>25</v>
      </c>
      <c r="M17" s="23">
        <v>55000</v>
      </c>
      <c r="N17" s="46"/>
      <c r="O17" s="46">
        <v>500</v>
      </c>
      <c r="P17" s="46"/>
      <c r="Q17" s="46">
        <v>500</v>
      </c>
      <c r="R17" s="46"/>
      <c r="S17" s="23">
        <v>500</v>
      </c>
      <c r="T17" s="46"/>
      <c r="U17" s="65"/>
      <c r="V17" s="67" t="s">
        <v>28</v>
      </c>
      <c r="W17" s="65"/>
      <c r="X17" s="66"/>
      <c r="Y17" s="137">
        <f t="shared" si="4"/>
        <v>45000</v>
      </c>
      <c r="Z17" s="138">
        <v>45000</v>
      </c>
      <c r="AA17" s="67">
        <v>0</v>
      </c>
      <c r="AB17" s="65"/>
      <c r="AC17" s="67" t="s">
        <v>28</v>
      </c>
      <c r="AD17" s="65"/>
      <c r="AE17" s="66"/>
      <c r="AF17" s="77" t="s">
        <v>36</v>
      </c>
      <c r="AG17" s="49">
        <f t="shared" si="0"/>
        <v>12</v>
      </c>
      <c r="AH17" s="90">
        <f t="shared" si="1"/>
        <v>12</v>
      </c>
      <c r="AI17" s="90" t="str">
        <f t="shared" si="2"/>
        <v/>
      </c>
      <c r="AL17" s="145"/>
    </row>
    <row r="18" spans="1:38" s="3" customFormat="1">
      <c r="A18" s="21" t="s">
        <v>25</v>
      </c>
      <c r="B18" s="22">
        <v>45914</v>
      </c>
      <c r="C18" s="23" t="s">
        <v>28</v>
      </c>
      <c r="D18" s="16" t="s">
        <v>28</v>
      </c>
      <c r="E18" s="23" t="s">
        <v>28</v>
      </c>
      <c r="F18" s="23" t="s">
        <v>28</v>
      </c>
      <c r="G18" s="23" t="s">
        <v>28</v>
      </c>
      <c r="H18" s="23" t="s">
        <v>28</v>
      </c>
      <c r="I18" s="23" t="s">
        <v>27</v>
      </c>
      <c r="J18" s="23"/>
      <c r="K18" s="38"/>
      <c r="L18" s="45" t="s">
        <v>25</v>
      </c>
      <c r="M18" s="23">
        <v>38000</v>
      </c>
      <c r="N18" s="23"/>
      <c r="O18" s="46">
        <v>500</v>
      </c>
      <c r="P18" s="23"/>
      <c r="Q18" s="23">
        <v>500</v>
      </c>
      <c r="R18" s="23"/>
      <c r="S18" s="23">
        <v>500</v>
      </c>
      <c r="T18" s="23"/>
      <c r="U18" s="65"/>
      <c r="V18" s="65" t="s">
        <v>28</v>
      </c>
      <c r="W18" s="65"/>
      <c r="X18" s="66"/>
      <c r="Y18" s="137">
        <f t="shared" si="4"/>
        <v>35000</v>
      </c>
      <c r="Z18" s="138">
        <v>35000</v>
      </c>
      <c r="AA18" s="67">
        <v>0</v>
      </c>
      <c r="AB18" s="65"/>
      <c r="AC18" s="65" t="s">
        <v>28</v>
      </c>
      <c r="AD18" s="65"/>
      <c r="AE18" s="66"/>
      <c r="AF18" s="77" t="s">
        <v>37</v>
      </c>
      <c r="AG18" s="49">
        <f t="shared" si="0"/>
        <v>9</v>
      </c>
      <c r="AH18" s="90">
        <f t="shared" si="1"/>
        <v>9</v>
      </c>
      <c r="AI18" s="90" t="str">
        <f t="shared" si="2"/>
        <v/>
      </c>
      <c r="AL18" s="145"/>
    </row>
    <row r="19" spans="1:38" s="1" customFormat="1">
      <c r="A19" s="10" t="s">
        <v>25</v>
      </c>
      <c r="B19" s="11">
        <v>45915</v>
      </c>
      <c r="C19" s="12" t="s">
        <v>26</v>
      </c>
      <c r="D19" s="12" t="s">
        <v>26</v>
      </c>
      <c r="E19" s="12" t="s">
        <v>26</v>
      </c>
      <c r="F19" s="12" t="s">
        <v>26</v>
      </c>
      <c r="G19" s="12" t="s">
        <v>26</v>
      </c>
      <c r="H19" s="12" t="s">
        <v>26</v>
      </c>
      <c r="I19" s="12" t="s">
        <v>27</v>
      </c>
      <c r="J19" s="12"/>
      <c r="K19" s="34"/>
      <c r="L19" s="35" t="s">
        <v>25</v>
      </c>
      <c r="M19" s="12">
        <v>0</v>
      </c>
      <c r="N19" s="36"/>
      <c r="O19" s="36">
        <v>0</v>
      </c>
      <c r="Q19" s="36">
        <v>0</v>
      </c>
      <c r="R19" s="36"/>
      <c r="S19" s="36">
        <v>0</v>
      </c>
      <c r="T19" s="36"/>
      <c r="U19" s="59"/>
      <c r="V19" s="59"/>
      <c r="W19" s="59"/>
      <c r="X19" s="60"/>
      <c r="Y19" s="131">
        <v>0</v>
      </c>
      <c r="Z19" s="132">
        <v>0</v>
      </c>
      <c r="AA19" s="68">
        <v>0</v>
      </c>
      <c r="AB19" s="59"/>
      <c r="AC19" s="59"/>
      <c r="AD19" s="59"/>
      <c r="AE19" s="60"/>
      <c r="AF19" s="75" t="s">
        <v>29</v>
      </c>
      <c r="AG19" s="84" t="str">
        <f t="shared" si="0"/>
        <v>闭店</v>
      </c>
      <c r="AH19" s="85" t="str">
        <f t="shared" si="1"/>
        <v/>
      </c>
      <c r="AI19" s="85" t="str">
        <f t="shared" si="2"/>
        <v/>
      </c>
      <c r="AL19" s="143"/>
    </row>
    <row r="20" spans="1:38" s="3" customFormat="1" ht="14.5">
      <c r="A20" s="21" t="s">
        <v>25</v>
      </c>
      <c r="B20" s="22">
        <v>45916</v>
      </c>
      <c r="C20" s="23" t="s">
        <v>26</v>
      </c>
      <c r="D20" s="16" t="s">
        <v>28</v>
      </c>
      <c r="E20" s="23" t="s">
        <v>28</v>
      </c>
      <c r="F20" s="23" t="s">
        <v>26</v>
      </c>
      <c r="G20" s="23" t="s">
        <v>28</v>
      </c>
      <c r="H20" s="23" t="s">
        <v>28</v>
      </c>
      <c r="I20" s="23" t="s">
        <v>27</v>
      </c>
      <c r="J20" s="23"/>
      <c r="K20" s="38"/>
      <c r="L20" s="45" t="s">
        <v>25</v>
      </c>
      <c r="M20" s="23">
        <v>18000</v>
      </c>
      <c r="N20" s="48"/>
      <c r="O20" s="46">
        <v>500</v>
      </c>
      <c r="P20" s="48"/>
      <c r="Q20" s="46">
        <v>0</v>
      </c>
      <c r="R20" s="48"/>
      <c r="S20" s="23">
        <v>500</v>
      </c>
      <c r="T20" s="48"/>
      <c r="U20" s="65"/>
      <c r="V20" s="65" t="s">
        <v>28</v>
      </c>
      <c r="W20" s="65"/>
      <c r="X20" s="65"/>
      <c r="Y20" s="137">
        <f t="shared" si="4"/>
        <v>15000</v>
      </c>
      <c r="Z20" s="134">
        <v>15000</v>
      </c>
      <c r="AA20" s="67">
        <v>0</v>
      </c>
      <c r="AB20" s="65"/>
      <c r="AC20" s="65" t="s">
        <v>28</v>
      </c>
      <c r="AD20" s="65"/>
      <c r="AE20" s="66"/>
      <c r="AF20" s="77" t="s">
        <v>31</v>
      </c>
      <c r="AG20" s="49">
        <f t="shared" si="0"/>
        <v>4</v>
      </c>
      <c r="AH20" s="90">
        <f t="shared" si="1"/>
        <v>4</v>
      </c>
      <c r="AI20" s="90" t="str">
        <f t="shared" si="2"/>
        <v/>
      </c>
      <c r="AL20" s="145"/>
    </row>
    <row r="21" spans="1:38" s="2" customFormat="1">
      <c r="A21" s="17" t="s">
        <v>25</v>
      </c>
      <c r="B21" s="18">
        <v>45917</v>
      </c>
      <c r="C21" s="19" t="s">
        <v>28</v>
      </c>
      <c r="D21" s="20" t="s">
        <v>28</v>
      </c>
      <c r="E21" s="19" t="s">
        <v>28</v>
      </c>
      <c r="F21" s="19" t="s">
        <v>28</v>
      </c>
      <c r="G21" s="19" t="s">
        <v>28</v>
      </c>
      <c r="H21" s="19" t="s">
        <v>28</v>
      </c>
      <c r="I21" s="19" t="s">
        <v>27</v>
      </c>
      <c r="J21" s="19" t="s">
        <v>32</v>
      </c>
      <c r="K21" s="42"/>
      <c r="L21" s="43" t="s">
        <v>25</v>
      </c>
      <c r="M21" s="19">
        <v>180000</v>
      </c>
      <c r="N21" s="19"/>
      <c r="O21" s="19">
        <v>800</v>
      </c>
      <c r="P21" s="19"/>
      <c r="Q21" s="44">
        <v>500</v>
      </c>
      <c r="R21" s="19"/>
      <c r="S21" s="44">
        <v>500</v>
      </c>
      <c r="T21" s="19"/>
      <c r="U21" s="63" t="s">
        <v>49</v>
      </c>
      <c r="V21" s="63" t="s">
        <v>28</v>
      </c>
      <c r="W21" s="63"/>
      <c r="X21" s="64" t="s">
        <v>28</v>
      </c>
      <c r="Y21" s="135">
        <f>SUM(Z21:AA21)</f>
        <v>100000</v>
      </c>
      <c r="Z21" s="136">
        <v>100000</v>
      </c>
      <c r="AA21" s="78">
        <v>0</v>
      </c>
      <c r="AB21" s="63" t="s">
        <v>28</v>
      </c>
      <c r="AC21" s="63" t="s">
        <v>28</v>
      </c>
      <c r="AD21" s="63"/>
      <c r="AE21" s="64" t="s">
        <v>28</v>
      </c>
      <c r="AF21" s="19" t="s">
        <v>33</v>
      </c>
      <c r="AG21" s="88">
        <f t="shared" si="0"/>
        <v>15</v>
      </c>
      <c r="AH21" s="89">
        <v>15</v>
      </c>
      <c r="AI21" s="89" t="str">
        <f t="shared" si="2"/>
        <v/>
      </c>
      <c r="AL21" s="144"/>
    </row>
    <row r="22" spans="1:38" s="3" customFormat="1">
      <c r="A22" s="21" t="s">
        <v>25</v>
      </c>
      <c r="B22" s="14">
        <v>45918</v>
      </c>
      <c r="C22" s="23" t="s">
        <v>28</v>
      </c>
      <c r="D22" s="16" t="s">
        <v>26</v>
      </c>
      <c r="E22" s="23" t="s">
        <v>26</v>
      </c>
      <c r="F22" s="23" t="s">
        <v>28</v>
      </c>
      <c r="G22" s="23" t="s">
        <v>26</v>
      </c>
      <c r="H22" s="23" t="s">
        <v>28</v>
      </c>
      <c r="I22" s="23" t="s">
        <v>27</v>
      </c>
      <c r="J22" s="23"/>
      <c r="K22" s="38"/>
      <c r="L22" s="45" t="s">
        <v>25</v>
      </c>
      <c r="M22" s="23">
        <v>10000</v>
      </c>
      <c r="N22" s="23"/>
      <c r="O22" s="46">
        <v>0</v>
      </c>
      <c r="P22" s="23"/>
      <c r="Q22" s="46">
        <v>500</v>
      </c>
      <c r="R22" s="23"/>
      <c r="S22" s="23">
        <v>0</v>
      </c>
      <c r="T22" s="47"/>
      <c r="U22" s="67"/>
      <c r="V22" s="65"/>
      <c r="W22" s="67"/>
      <c r="X22" s="66" t="s">
        <v>28</v>
      </c>
      <c r="Y22" s="137">
        <f t="shared" si="4"/>
        <v>10000</v>
      </c>
      <c r="Z22" s="134">
        <v>10000</v>
      </c>
      <c r="AA22" s="67">
        <v>0</v>
      </c>
      <c r="AB22" s="67"/>
      <c r="AC22" s="65"/>
      <c r="AD22" s="67"/>
      <c r="AE22" s="38" t="s">
        <v>28</v>
      </c>
      <c r="AF22" s="77" t="s">
        <v>34</v>
      </c>
      <c r="AG22" s="49">
        <f t="shared" si="0"/>
        <v>3</v>
      </c>
      <c r="AH22" s="90">
        <f t="shared" si="1"/>
        <v>3</v>
      </c>
      <c r="AI22" s="90" t="str">
        <f t="shared" si="2"/>
        <v/>
      </c>
      <c r="AL22" s="145"/>
    </row>
    <row r="23" spans="1:38" s="3" customFormat="1">
      <c r="A23" s="21" t="s">
        <v>25</v>
      </c>
      <c r="B23" s="22">
        <v>45919</v>
      </c>
      <c r="C23" s="23" t="s">
        <v>28</v>
      </c>
      <c r="D23" s="16" t="s">
        <v>28</v>
      </c>
      <c r="E23" s="23" t="s">
        <v>28</v>
      </c>
      <c r="F23" s="23" t="s">
        <v>28</v>
      </c>
      <c r="G23" s="23" t="s">
        <v>28</v>
      </c>
      <c r="H23" s="23" t="s">
        <v>26</v>
      </c>
      <c r="I23" s="23" t="s">
        <v>27</v>
      </c>
      <c r="J23" s="23"/>
      <c r="K23" s="38"/>
      <c r="L23" s="45" t="s">
        <v>25</v>
      </c>
      <c r="M23" s="46">
        <v>32000</v>
      </c>
      <c r="N23" s="46"/>
      <c r="O23" s="46">
        <v>500</v>
      </c>
      <c r="P23" s="46"/>
      <c r="Q23" s="46">
        <v>500</v>
      </c>
      <c r="R23" s="46"/>
      <c r="S23" s="23">
        <v>500</v>
      </c>
      <c r="T23" s="46"/>
      <c r="U23" s="67"/>
      <c r="V23" s="65" t="s">
        <v>28</v>
      </c>
      <c r="W23" s="67"/>
      <c r="X23" s="38"/>
      <c r="Y23" s="137">
        <f t="shared" si="4"/>
        <v>26000</v>
      </c>
      <c r="Z23" s="138">
        <v>26000</v>
      </c>
      <c r="AA23" s="67">
        <v>0</v>
      </c>
      <c r="AB23" s="67"/>
      <c r="AC23" s="65" t="s">
        <v>28</v>
      </c>
      <c r="AD23" s="67"/>
      <c r="AE23" s="38"/>
      <c r="AF23" s="77" t="s">
        <v>35</v>
      </c>
      <c r="AG23" s="49">
        <f t="shared" si="0"/>
        <v>7</v>
      </c>
      <c r="AH23" s="90">
        <f t="shared" si="1"/>
        <v>7</v>
      </c>
      <c r="AI23" s="90" t="str">
        <f t="shared" si="2"/>
        <v/>
      </c>
      <c r="AL23" s="145"/>
    </row>
    <row r="24" spans="1:38" s="3" customFormat="1">
      <c r="A24" s="21" t="s">
        <v>25</v>
      </c>
      <c r="B24" s="22">
        <v>45920</v>
      </c>
      <c r="C24" s="23" t="s">
        <v>28</v>
      </c>
      <c r="D24" s="16" t="s">
        <v>28</v>
      </c>
      <c r="E24" s="23" t="s">
        <v>28</v>
      </c>
      <c r="F24" s="23" t="s">
        <v>28</v>
      </c>
      <c r="G24" s="23" t="s">
        <v>28</v>
      </c>
      <c r="H24" s="23" t="s">
        <v>28</v>
      </c>
      <c r="I24" s="23" t="s">
        <v>27</v>
      </c>
      <c r="J24" s="23"/>
      <c r="K24" s="38"/>
      <c r="L24" s="45" t="s">
        <v>25</v>
      </c>
      <c r="M24" s="23">
        <v>55000</v>
      </c>
      <c r="N24" s="49"/>
      <c r="O24" s="46">
        <v>500</v>
      </c>
      <c r="P24" s="46"/>
      <c r="Q24" s="46">
        <v>500</v>
      </c>
      <c r="R24" s="46"/>
      <c r="S24" s="23">
        <v>500</v>
      </c>
      <c r="T24" s="49"/>
      <c r="U24" s="67"/>
      <c r="V24" s="65" t="s">
        <v>28</v>
      </c>
      <c r="W24" s="67"/>
      <c r="X24" s="38"/>
      <c r="Y24" s="137">
        <f t="shared" si="4"/>
        <v>55000</v>
      </c>
      <c r="Z24" s="138">
        <v>40000</v>
      </c>
      <c r="AA24" s="67">
        <v>15000</v>
      </c>
      <c r="AB24" s="67"/>
      <c r="AC24" s="65" t="s">
        <v>28</v>
      </c>
      <c r="AD24" s="67"/>
      <c r="AE24" s="38"/>
      <c r="AF24" s="77" t="s">
        <v>36</v>
      </c>
      <c r="AG24" s="49">
        <f t="shared" si="0"/>
        <v>12</v>
      </c>
      <c r="AH24" s="90">
        <f t="shared" si="1"/>
        <v>10</v>
      </c>
      <c r="AI24" s="90">
        <f t="shared" si="2"/>
        <v>2</v>
      </c>
      <c r="AL24" s="145"/>
    </row>
    <row r="25" spans="1:38" s="3" customFormat="1">
      <c r="A25" s="21" t="s">
        <v>25</v>
      </c>
      <c r="B25" s="22">
        <v>45921</v>
      </c>
      <c r="C25" s="23" t="s">
        <v>28</v>
      </c>
      <c r="D25" s="16" t="s">
        <v>28</v>
      </c>
      <c r="E25" s="23" t="s">
        <v>28</v>
      </c>
      <c r="F25" s="23" t="s">
        <v>28</v>
      </c>
      <c r="G25" s="23" t="s">
        <v>28</v>
      </c>
      <c r="H25" s="23" t="s">
        <v>26</v>
      </c>
      <c r="I25" s="23" t="s">
        <v>27</v>
      </c>
      <c r="J25" s="23"/>
      <c r="K25" s="50"/>
      <c r="L25" s="45" t="s">
        <v>25</v>
      </c>
      <c r="M25" s="23">
        <v>38000</v>
      </c>
      <c r="N25" s="23"/>
      <c r="O25" s="46">
        <v>500</v>
      </c>
      <c r="P25" s="23"/>
      <c r="Q25" s="46">
        <v>500</v>
      </c>
      <c r="R25" s="23"/>
      <c r="S25" s="23">
        <v>500</v>
      </c>
      <c r="T25" s="23"/>
      <c r="U25" s="67"/>
      <c r="V25" s="67" t="s">
        <v>28</v>
      </c>
      <c r="W25" s="67"/>
      <c r="X25" s="38"/>
      <c r="Y25" s="137">
        <f t="shared" si="4"/>
        <v>35000</v>
      </c>
      <c r="Z25" s="138">
        <v>35000</v>
      </c>
      <c r="AA25" s="67">
        <v>0</v>
      </c>
      <c r="AB25" s="67"/>
      <c r="AC25" s="67" t="s">
        <v>28</v>
      </c>
      <c r="AD25" s="67"/>
      <c r="AE25" s="38"/>
      <c r="AF25" s="77" t="s">
        <v>37</v>
      </c>
      <c r="AG25" s="49">
        <f t="shared" si="0"/>
        <v>9</v>
      </c>
      <c r="AH25" s="90">
        <f t="shared" si="1"/>
        <v>9</v>
      </c>
      <c r="AI25" s="90" t="str">
        <f t="shared" si="2"/>
        <v/>
      </c>
      <c r="AL25" s="145"/>
    </row>
    <row r="26" spans="1:38" s="1" customFormat="1">
      <c r="A26" s="10" t="s">
        <v>25</v>
      </c>
      <c r="B26" s="11">
        <v>45922</v>
      </c>
      <c r="C26" s="12" t="s">
        <v>26</v>
      </c>
      <c r="D26" s="12" t="s">
        <v>26</v>
      </c>
      <c r="E26" s="12" t="s">
        <v>26</v>
      </c>
      <c r="F26" s="12" t="s">
        <v>26</v>
      </c>
      <c r="G26" s="12" t="s">
        <v>26</v>
      </c>
      <c r="H26" s="12" t="s">
        <v>26</v>
      </c>
      <c r="I26" s="12" t="s">
        <v>27</v>
      </c>
      <c r="J26" s="12"/>
      <c r="K26" s="51"/>
      <c r="L26" s="35" t="s">
        <v>25</v>
      </c>
      <c r="M26" s="36">
        <v>0</v>
      </c>
      <c r="N26" s="36"/>
      <c r="O26" s="36">
        <v>0</v>
      </c>
      <c r="P26" s="36"/>
      <c r="Q26" s="36">
        <v>0</v>
      </c>
      <c r="R26" s="36"/>
      <c r="S26" s="36">
        <v>0</v>
      </c>
      <c r="T26" s="36"/>
      <c r="U26" s="68"/>
      <c r="V26" s="68"/>
      <c r="W26" s="68"/>
      <c r="X26" s="34"/>
      <c r="Y26" s="131">
        <v>0</v>
      </c>
      <c r="Z26" s="132">
        <v>0</v>
      </c>
      <c r="AA26" s="68">
        <v>0</v>
      </c>
      <c r="AB26" s="68"/>
      <c r="AC26" s="68"/>
      <c r="AD26" s="68"/>
      <c r="AE26" s="34"/>
      <c r="AF26" s="75" t="s">
        <v>29</v>
      </c>
      <c r="AG26" s="84" t="str">
        <f t="shared" si="0"/>
        <v>闭店</v>
      </c>
      <c r="AH26" s="85" t="str">
        <f t="shared" si="1"/>
        <v/>
      </c>
      <c r="AI26" s="85" t="str">
        <f t="shared" si="2"/>
        <v/>
      </c>
      <c r="AL26" s="143"/>
    </row>
    <row r="27" spans="1:38" s="3" customFormat="1" ht="14.5">
      <c r="A27" s="21" t="s">
        <v>25</v>
      </c>
      <c r="B27" s="22">
        <v>45923</v>
      </c>
      <c r="C27" s="23" t="s">
        <v>28</v>
      </c>
      <c r="D27" s="16" t="s">
        <v>28</v>
      </c>
      <c r="E27" s="23" t="s">
        <v>28</v>
      </c>
      <c r="F27" s="23" t="s">
        <v>26</v>
      </c>
      <c r="G27" s="23" t="s">
        <v>26</v>
      </c>
      <c r="H27" s="23" t="s">
        <v>28</v>
      </c>
      <c r="I27" s="23" t="s">
        <v>27</v>
      </c>
      <c r="J27" s="23"/>
      <c r="K27" s="50"/>
      <c r="L27" s="45" t="s">
        <v>25</v>
      </c>
      <c r="M27" s="23">
        <v>18000</v>
      </c>
      <c r="N27" s="48"/>
      <c r="O27" s="46">
        <v>500</v>
      </c>
      <c r="P27" s="48"/>
      <c r="Q27" s="46">
        <v>0</v>
      </c>
      <c r="R27" s="48"/>
      <c r="S27" s="46">
        <v>0</v>
      </c>
      <c r="T27" s="48"/>
      <c r="U27" s="65"/>
      <c r="V27" s="65" t="s">
        <v>28</v>
      </c>
      <c r="W27" s="65"/>
      <c r="X27" s="66"/>
      <c r="Y27" s="137">
        <f t="shared" si="4"/>
        <v>15000</v>
      </c>
      <c r="Z27" s="134">
        <v>15000</v>
      </c>
      <c r="AA27" s="67">
        <v>0</v>
      </c>
      <c r="AB27" s="65"/>
      <c r="AC27" s="65" t="s">
        <v>28</v>
      </c>
      <c r="AD27" s="65"/>
      <c r="AE27" s="66"/>
      <c r="AF27" s="77" t="s">
        <v>31</v>
      </c>
      <c r="AG27" s="49">
        <f t="shared" si="0"/>
        <v>4</v>
      </c>
      <c r="AH27" s="90">
        <f t="shared" si="1"/>
        <v>4</v>
      </c>
      <c r="AI27" s="90" t="str">
        <f t="shared" si="2"/>
        <v/>
      </c>
      <c r="AL27" s="145"/>
    </row>
    <row r="28" spans="1:38" s="3" customFormat="1">
      <c r="A28" s="21" t="s">
        <v>25</v>
      </c>
      <c r="B28" s="22">
        <v>45924</v>
      </c>
      <c r="C28" s="23" t="s">
        <v>28</v>
      </c>
      <c r="D28" s="16" t="s">
        <v>28</v>
      </c>
      <c r="E28" s="23" t="s">
        <v>28</v>
      </c>
      <c r="F28" s="23" t="s">
        <v>28</v>
      </c>
      <c r="G28" s="23" t="s">
        <v>28</v>
      </c>
      <c r="H28" s="23" t="s">
        <v>28</v>
      </c>
      <c r="I28" s="23" t="s">
        <v>27</v>
      </c>
      <c r="J28" s="23"/>
      <c r="K28" s="50"/>
      <c r="L28" s="45" t="s">
        <v>25</v>
      </c>
      <c r="M28" s="23">
        <v>25000</v>
      </c>
      <c r="N28" s="23"/>
      <c r="O28" s="46">
        <v>500</v>
      </c>
      <c r="P28" s="23"/>
      <c r="Q28" s="23">
        <v>500</v>
      </c>
      <c r="R28" s="23"/>
      <c r="S28" s="23">
        <v>500</v>
      </c>
      <c r="T28" s="23"/>
      <c r="U28" s="67"/>
      <c r="V28" s="65" t="s">
        <v>28</v>
      </c>
      <c r="W28" s="67"/>
      <c r="X28" s="38"/>
      <c r="Y28" s="137">
        <f t="shared" ref="Y28:Y34" si="5">SUM(Z28:AA28)</f>
        <v>26000</v>
      </c>
      <c r="Z28" s="138">
        <v>26000</v>
      </c>
      <c r="AA28" s="67">
        <v>0</v>
      </c>
      <c r="AB28" s="67"/>
      <c r="AC28" s="67" t="s">
        <v>28</v>
      </c>
      <c r="AD28" s="67"/>
      <c r="AE28" s="38"/>
      <c r="AF28" s="23" t="s">
        <v>33</v>
      </c>
      <c r="AG28" s="49">
        <f t="shared" si="0"/>
        <v>7</v>
      </c>
      <c r="AH28" s="90">
        <f t="shared" si="1"/>
        <v>7</v>
      </c>
      <c r="AI28" s="90" t="str">
        <f t="shared" si="2"/>
        <v/>
      </c>
      <c r="AL28" s="145"/>
    </row>
    <row r="29" spans="1:38" s="3" customFormat="1">
      <c r="A29" s="21" t="s">
        <v>25</v>
      </c>
      <c r="B29" s="22">
        <v>45925</v>
      </c>
      <c r="C29" s="23" t="s">
        <v>28</v>
      </c>
      <c r="D29" s="16" t="s">
        <v>26</v>
      </c>
      <c r="E29" s="23" t="s">
        <v>26</v>
      </c>
      <c r="F29" s="23" t="s">
        <v>28</v>
      </c>
      <c r="G29" s="23" t="s">
        <v>28</v>
      </c>
      <c r="H29" s="23" t="s">
        <v>28</v>
      </c>
      <c r="I29" s="23" t="s">
        <v>27</v>
      </c>
      <c r="J29" s="23"/>
      <c r="K29" s="50"/>
      <c r="L29" s="45" t="s">
        <v>25</v>
      </c>
      <c r="M29" s="23">
        <v>12000</v>
      </c>
      <c r="N29" s="23"/>
      <c r="O29" s="23">
        <v>0</v>
      </c>
      <c r="P29" s="23"/>
      <c r="Q29" s="46">
        <v>500</v>
      </c>
      <c r="R29" s="23"/>
      <c r="S29" s="23">
        <v>500</v>
      </c>
      <c r="T29" s="47"/>
      <c r="U29" s="67"/>
      <c r="V29" s="65" t="s">
        <v>28</v>
      </c>
      <c r="W29" s="67"/>
      <c r="X29" s="38"/>
      <c r="Y29" s="137">
        <f t="shared" si="5"/>
        <v>15000</v>
      </c>
      <c r="Z29" s="134">
        <v>15000</v>
      </c>
      <c r="AA29" s="67">
        <v>0</v>
      </c>
      <c r="AB29" s="67"/>
      <c r="AC29" s="67" t="s">
        <v>28</v>
      </c>
      <c r="AD29" s="67"/>
      <c r="AE29" s="38"/>
      <c r="AF29" s="77" t="s">
        <v>34</v>
      </c>
      <c r="AG29" s="49">
        <f t="shared" si="0"/>
        <v>4</v>
      </c>
      <c r="AH29" s="90">
        <f t="shared" si="1"/>
        <v>4</v>
      </c>
      <c r="AI29" s="90" t="str">
        <f t="shared" si="2"/>
        <v/>
      </c>
      <c r="AL29" s="145"/>
    </row>
    <row r="30" spans="1:38" s="3" customFormat="1">
      <c r="A30" s="21" t="s">
        <v>25</v>
      </c>
      <c r="B30" s="22">
        <v>45926</v>
      </c>
      <c r="C30" s="23" t="s">
        <v>26</v>
      </c>
      <c r="D30" s="16" t="s">
        <v>28</v>
      </c>
      <c r="E30" s="23" t="s">
        <v>28</v>
      </c>
      <c r="F30" s="23" t="s">
        <v>26</v>
      </c>
      <c r="G30" s="23" t="s">
        <v>28</v>
      </c>
      <c r="H30" s="23" t="s">
        <v>28</v>
      </c>
      <c r="I30" s="23" t="s">
        <v>27</v>
      </c>
      <c r="J30" s="23"/>
      <c r="K30" s="50"/>
      <c r="L30" s="45" t="s">
        <v>25</v>
      </c>
      <c r="M30" s="46">
        <v>32000</v>
      </c>
      <c r="N30" s="46"/>
      <c r="O30" s="46">
        <v>500</v>
      </c>
      <c r="P30" s="46"/>
      <c r="Q30" s="46">
        <v>0</v>
      </c>
      <c r="R30" s="46"/>
      <c r="S30" s="23">
        <v>500</v>
      </c>
      <c r="T30" s="46"/>
      <c r="U30" s="67"/>
      <c r="V30" s="65" t="s">
        <v>28</v>
      </c>
      <c r="W30" s="67"/>
      <c r="X30" s="38" t="s">
        <v>28</v>
      </c>
      <c r="Y30" s="137">
        <f t="shared" si="5"/>
        <v>26000</v>
      </c>
      <c r="Z30" s="138">
        <v>26000</v>
      </c>
      <c r="AA30" s="67">
        <v>0</v>
      </c>
      <c r="AB30" s="67"/>
      <c r="AC30" s="67" t="s">
        <v>28</v>
      </c>
      <c r="AD30" s="67"/>
      <c r="AE30" s="38"/>
      <c r="AF30" s="77" t="s">
        <v>35</v>
      </c>
      <c r="AG30" s="49">
        <f t="shared" si="0"/>
        <v>7</v>
      </c>
      <c r="AH30" s="90">
        <f t="shared" si="1"/>
        <v>7</v>
      </c>
      <c r="AI30" s="90" t="str">
        <f t="shared" si="2"/>
        <v/>
      </c>
      <c r="AL30" s="145"/>
    </row>
    <row r="31" spans="1:38" s="3" customFormat="1">
      <c r="A31" s="21" t="s">
        <v>25</v>
      </c>
      <c r="B31" s="22">
        <v>45927</v>
      </c>
      <c r="C31" s="23" t="s">
        <v>28</v>
      </c>
      <c r="D31" s="16" t="s">
        <v>28</v>
      </c>
      <c r="E31" s="23" t="s">
        <v>28</v>
      </c>
      <c r="F31" s="23" t="s">
        <v>28</v>
      </c>
      <c r="G31" s="23" t="s">
        <v>28</v>
      </c>
      <c r="H31" s="23" t="s">
        <v>28</v>
      </c>
      <c r="I31" s="23" t="s">
        <v>27</v>
      </c>
      <c r="J31" s="23"/>
      <c r="K31" s="50"/>
      <c r="L31" s="45" t="s">
        <v>25</v>
      </c>
      <c r="M31" s="46">
        <v>55000</v>
      </c>
      <c r="N31" s="46"/>
      <c r="O31" s="46">
        <v>500</v>
      </c>
      <c r="P31" s="46"/>
      <c r="Q31" s="46">
        <v>500</v>
      </c>
      <c r="R31" s="46"/>
      <c r="S31" s="23">
        <v>500</v>
      </c>
      <c r="T31" s="46"/>
      <c r="U31" s="67"/>
      <c r="V31" s="65" t="s">
        <v>28</v>
      </c>
      <c r="W31" s="67"/>
      <c r="X31" s="38"/>
      <c r="Y31" s="137">
        <f t="shared" si="5"/>
        <v>55000</v>
      </c>
      <c r="Z31" s="138">
        <v>40000</v>
      </c>
      <c r="AA31" s="67">
        <v>15000</v>
      </c>
      <c r="AB31" s="67"/>
      <c r="AC31" s="67" t="s">
        <v>28</v>
      </c>
      <c r="AD31" s="67"/>
      <c r="AE31" s="38"/>
      <c r="AF31" s="77" t="s">
        <v>36</v>
      </c>
      <c r="AG31" s="49">
        <f t="shared" si="0"/>
        <v>12</v>
      </c>
      <c r="AH31" s="90">
        <f t="shared" si="1"/>
        <v>10</v>
      </c>
      <c r="AI31" s="90">
        <f t="shared" si="2"/>
        <v>2</v>
      </c>
      <c r="AL31" s="145"/>
    </row>
    <row r="32" spans="1:38" s="4" customFormat="1">
      <c r="A32" s="24" t="s">
        <v>25</v>
      </c>
      <c r="B32" s="25">
        <v>45928</v>
      </c>
      <c r="C32" s="26" t="s">
        <v>28</v>
      </c>
      <c r="D32" s="27" t="s">
        <v>26</v>
      </c>
      <c r="E32" s="26" t="s">
        <v>28</v>
      </c>
      <c r="F32" s="26" t="s">
        <v>28</v>
      </c>
      <c r="G32" s="26" t="s">
        <v>28</v>
      </c>
      <c r="H32" s="26" t="s">
        <v>26</v>
      </c>
      <c r="I32" s="26" t="s">
        <v>27</v>
      </c>
      <c r="J32" s="26" t="s">
        <v>39</v>
      </c>
      <c r="K32" s="52"/>
      <c r="L32" s="53" t="s">
        <v>25</v>
      </c>
      <c r="M32" s="26">
        <v>20000</v>
      </c>
      <c r="N32" s="26"/>
      <c r="O32" s="26">
        <v>500</v>
      </c>
      <c r="P32" s="26"/>
      <c r="Q32" s="69">
        <v>500</v>
      </c>
      <c r="R32" s="26"/>
      <c r="S32" s="26">
        <v>500</v>
      </c>
      <c r="T32" s="26"/>
      <c r="U32" s="70"/>
      <c r="V32" s="70"/>
      <c r="W32" s="70" t="s">
        <v>28</v>
      </c>
      <c r="X32" s="71"/>
      <c r="Y32" s="139">
        <f t="shared" si="5"/>
        <v>30000</v>
      </c>
      <c r="Z32" s="140">
        <v>30000</v>
      </c>
      <c r="AA32" s="70">
        <v>0</v>
      </c>
      <c r="AB32" s="70"/>
      <c r="AC32" s="70"/>
      <c r="AD32" s="70" t="s">
        <v>28</v>
      </c>
      <c r="AE32" s="71"/>
      <c r="AF32" s="79" t="s">
        <v>37</v>
      </c>
      <c r="AG32" s="91">
        <f t="shared" si="0"/>
        <v>8</v>
      </c>
      <c r="AH32" s="92">
        <f t="shared" si="1"/>
        <v>8</v>
      </c>
      <c r="AI32" s="92" t="str">
        <f t="shared" si="2"/>
        <v/>
      </c>
      <c r="AL32" s="146"/>
    </row>
    <row r="33" spans="1:38" s="1" customFormat="1">
      <c r="A33" s="10" t="s">
        <v>25</v>
      </c>
      <c r="B33" s="11">
        <v>45929</v>
      </c>
      <c r="C33" s="12" t="s">
        <v>26</v>
      </c>
      <c r="D33" s="12" t="s">
        <v>26</v>
      </c>
      <c r="E33" s="12" t="s">
        <v>26</v>
      </c>
      <c r="F33" s="12" t="s">
        <v>26</v>
      </c>
      <c r="G33" s="12" t="s">
        <v>26</v>
      </c>
      <c r="H33" s="12" t="s">
        <v>26</v>
      </c>
      <c r="I33" s="12" t="s">
        <v>27</v>
      </c>
      <c r="J33" s="12"/>
      <c r="K33" s="34"/>
      <c r="L33" s="35" t="s">
        <v>25</v>
      </c>
      <c r="M33" s="12">
        <v>0</v>
      </c>
      <c r="N33" s="36"/>
      <c r="O33" s="12">
        <v>0</v>
      </c>
      <c r="P33" s="36"/>
      <c r="Q33" s="36">
        <v>0</v>
      </c>
      <c r="R33" s="36"/>
      <c r="S33" s="36">
        <v>0</v>
      </c>
      <c r="T33" s="36"/>
      <c r="U33" s="68"/>
      <c r="V33" s="68"/>
      <c r="W33" s="68"/>
      <c r="X33" s="34"/>
      <c r="Y33" s="131">
        <v>0</v>
      </c>
      <c r="Z33" s="132">
        <v>0</v>
      </c>
      <c r="AA33" s="68">
        <v>0</v>
      </c>
      <c r="AB33" s="68"/>
      <c r="AC33" s="68"/>
      <c r="AD33" s="68"/>
      <c r="AE33" s="34"/>
      <c r="AF33" s="75" t="s">
        <v>29</v>
      </c>
      <c r="AG33" s="84" t="str">
        <f t="shared" si="0"/>
        <v>闭店</v>
      </c>
      <c r="AH33" s="85" t="str">
        <f t="shared" si="1"/>
        <v/>
      </c>
      <c r="AI33" s="85" t="str">
        <f t="shared" si="2"/>
        <v/>
      </c>
      <c r="AL33" s="143"/>
    </row>
    <row r="34" spans="1:38" s="3" customFormat="1" ht="14.5">
      <c r="A34" s="28" t="s">
        <v>25</v>
      </c>
      <c r="B34" s="29">
        <v>45930</v>
      </c>
      <c r="C34" s="30" t="s">
        <v>26</v>
      </c>
      <c r="D34" s="31" t="s">
        <v>28</v>
      </c>
      <c r="E34" s="30" t="s">
        <v>28</v>
      </c>
      <c r="F34" s="30" t="s">
        <v>28</v>
      </c>
      <c r="G34" s="30" t="s">
        <v>26</v>
      </c>
      <c r="H34" s="30" t="s">
        <v>28</v>
      </c>
      <c r="I34" s="30" t="s">
        <v>27</v>
      </c>
      <c r="J34" s="30"/>
      <c r="K34" s="54"/>
      <c r="L34" s="55" t="s">
        <v>25</v>
      </c>
      <c r="M34" s="56">
        <v>12000</v>
      </c>
      <c r="N34" s="57"/>
      <c r="O34" s="56">
        <v>500</v>
      </c>
      <c r="P34" s="57"/>
      <c r="Q34" s="56">
        <v>500</v>
      </c>
      <c r="R34" s="57"/>
      <c r="S34" s="30">
        <v>0</v>
      </c>
      <c r="T34" s="57"/>
      <c r="U34" s="72"/>
      <c r="V34" s="72"/>
      <c r="W34" s="72"/>
      <c r="X34" s="72" t="s">
        <v>28</v>
      </c>
      <c r="Y34" s="141">
        <f t="shared" si="5"/>
        <v>10000</v>
      </c>
      <c r="Z34" s="142">
        <v>10000</v>
      </c>
      <c r="AA34" s="80">
        <v>0</v>
      </c>
      <c r="AB34" s="72"/>
      <c r="AC34" s="72"/>
      <c r="AD34" s="72"/>
      <c r="AE34" s="73" t="s">
        <v>28</v>
      </c>
      <c r="AF34" s="72" t="s">
        <v>31</v>
      </c>
      <c r="AG34" s="49">
        <f t="shared" si="0"/>
        <v>3</v>
      </c>
      <c r="AH34" s="90">
        <f t="shared" si="1"/>
        <v>3</v>
      </c>
      <c r="AI34" s="90" t="str">
        <f t="shared" si="2"/>
        <v/>
      </c>
      <c r="AL34" s="145"/>
    </row>
    <row r="35" spans="1:38">
      <c r="A35" s="5" t="s">
        <v>40</v>
      </c>
      <c r="L35" s="5">
        <f t="shared" ref="L35:T35" si="6">SUM(L5:L34)</f>
        <v>0</v>
      </c>
      <c r="M35" s="6">
        <f>SUM(M5:M34)</f>
        <v>970000</v>
      </c>
      <c r="N35" s="6">
        <f t="shared" si="6"/>
        <v>0</v>
      </c>
      <c r="O35" s="6">
        <f t="shared" si="6"/>
        <v>10000</v>
      </c>
      <c r="P35" s="6">
        <f t="shared" si="6"/>
        <v>0</v>
      </c>
      <c r="Q35" s="6">
        <f t="shared" si="6"/>
        <v>10000</v>
      </c>
      <c r="R35" s="6">
        <f t="shared" si="6"/>
        <v>0</v>
      </c>
      <c r="S35" s="6">
        <f t="shared" si="6"/>
        <v>10000</v>
      </c>
      <c r="T35" s="6">
        <f t="shared" si="6"/>
        <v>0</v>
      </c>
      <c r="X35" s="5" t="s">
        <v>41</v>
      </c>
      <c r="Y35" s="127">
        <f>Z35+AA35</f>
        <v>800000</v>
      </c>
      <c r="Z35" s="127">
        <f>SUM(Z5:Z34)</f>
        <v>750000</v>
      </c>
      <c r="AA35" s="5">
        <f>SUM(AA5:AA34)</f>
        <v>50000</v>
      </c>
      <c r="AF35" s="5" t="s">
        <v>42</v>
      </c>
      <c r="AG35" s="93">
        <f>AH35+AI35</f>
        <v>186</v>
      </c>
      <c r="AH35" s="93">
        <f>SUM(AH5:AH34)</f>
        <v>179</v>
      </c>
      <c r="AI35" s="93">
        <f>SUM(AI5:AI34)</f>
        <v>7</v>
      </c>
    </row>
    <row r="36" spans="1:38">
      <c r="X36" s="5" t="s">
        <v>43</v>
      </c>
      <c r="Y36" s="127">
        <f>Z36+AA36</f>
        <v>397046.83</v>
      </c>
      <c r="Z36" s="127">
        <f>IFERROR(_xlfn.XLOOKUP(Z$4,[1]Export!$B$68:$B$83,[1]Export!$H$68:$H$83)*1000,)</f>
        <v>384968.5</v>
      </c>
      <c r="AA36" s="81">
        <f>IFERROR(_xlfn.XLOOKUP(AA$4,[1]Export!$B$68:$B$83,[1]Export!$H$68:$H$83)*1000,)</f>
        <v>12078.33</v>
      </c>
      <c r="AF36" s="5" t="s">
        <v>43</v>
      </c>
      <c r="AG36" s="93">
        <f>AI36+AH36</f>
        <v>102</v>
      </c>
      <c r="AH36" s="94">
        <f>IFERROR(_xlfn.XLOOKUP(AH$4,[1]Export!$B$68:$B$83,[1]Export!$G$68:$G$83),)</f>
        <v>100</v>
      </c>
      <c r="AI36" s="94">
        <f>IFERROR(_xlfn.XLOOKUP(AI$4,[1]Export!$B$68:$B$83,[1]Export!$G$68:$G$83),)</f>
        <v>2</v>
      </c>
    </row>
    <row r="37" spans="1:38">
      <c r="X37" s="5" t="s">
        <v>44</v>
      </c>
      <c r="Y37" s="127">
        <f>Y35/Y36-1</f>
        <v>1.01487567600023</v>
      </c>
      <c r="Z37" s="127">
        <f>Z35/Z36-1</f>
        <v>0.94821134716217004</v>
      </c>
      <c r="AA37" s="82">
        <f>AA35/AA36-1</f>
        <v>3.1396451330606099</v>
      </c>
      <c r="AF37" s="5" t="s">
        <v>44</v>
      </c>
      <c r="AG37" s="95">
        <f>AG35/AG36-1</f>
        <v>0.82352941176470584</v>
      </c>
      <c r="AH37" s="95">
        <f>AH35/AH36-1</f>
        <v>0.79</v>
      </c>
    </row>
    <row r="39" spans="1:38">
      <c r="AH39" s="8" t="str">
        <f>AH4</f>
        <v>张馨丹</v>
      </c>
      <c r="AI39" s="8" t="str">
        <f>AI4</f>
        <v>周佳丽</v>
      </c>
    </row>
    <row r="40" spans="1:38">
      <c r="AG40" s="8" t="s">
        <v>45</v>
      </c>
      <c r="AH40" s="94">
        <f>IFERROR(_xlfn.XLOOKUP(AH$39,[1]Export!$B$68:$B$83,[1]Export!$AP$68:$AP$83),)</f>
        <v>5858.4548837209304</v>
      </c>
      <c r="AI40" s="94">
        <f>IFERROR(_xlfn.XLOOKUP(AI$39,[1]Export!$B$68:$B$83,[1]Export!$AP$68:$AP$83),)</f>
        <v>6465.8195833333302</v>
      </c>
    </row>
    <row r="41" spans="1:38">
      <c r="AG41" s="8" t="s">
        <v>46</v>
      </c>
      <c r="AH41" s="94">
        <f>IFERROR(_xlfn.XLOOKUP(AH$39,[1]Export!$B$68:$B$83,[1]Export!$F$68:$F$83),)</f>
        <v>3849.6849999999999</v>
      </c>
      <c r="AI41" s="94">
        <f>IFERROR(_xlfn.XLOOKUP(AI$39,[1]Export!$B$68:$B$83,[1]Export!$F$68:$F$83),)</f>
        <v>6039.165</v>
      </c>
    </row>
    <row r="42" spans="1:38">
      <c r="AG42" s="8" t="s">
        <v>47</v>
      </c>
      <c r="AH42" s="94">
        <f>IFERROR(_xlfn.XLOOKUP(AH$39,[1]Export!$B$68:$B$83,[1]Export!$AM$68:$AM$83),)</f>
        <v>3985.3404347826099</v>
      </c>
      <c r="AI42" s="94">
        <f>IFERROR(_xlfn.XLOOKUP(AI$39,[1]Export!$B$68:$B$83,[1]Export!$AM$68:$AM$83),)</f>
        <v>25126.1</v>
      </c>
    </row>
    <row r="43" spans="1:38">
      <c r="AG43" s="8" t="s">
        <v>48</v>
      </c>
      <c r="AH43" s="96">
        <f>AH41</f>
        <v>3849.6849999999999</v>
      </c>
      <c r="AI43" s="96">
        <f>AI41</f>
        <v>6039.165</v>
      </c>
    </row>
  </sheetData>
  <autoFilter ref="A4:AI37" xr:uid="{00000000-0009-0000-0000-000000000000}"/>
  <mergeCells count="18">
    <mergeCell ref="AG3:AG4"/>
    <mergeCell ref="A2:A4"/>
    <mergeCell ref="B2:B4"/>
    <mergeCell ref="C3:C4"/>
    <mergeCell ref="J3:J4"/>
    <mergeCell ref="K3:K4"/>
    <mergeCell ref="C2:K2"/>
    <mergeCell ref="L2:X2"/>
    <mergeCell ref="Y2:AE2"/>
    <mergeCell ref="E3:G3"/>
    <mergeCell ref="H3:I3"/>
    <mergeCell ref="M3:N3"/>
    <mergeCell ref="O3:T3"/>
    <mergeCell ref="U3:X3"/>
    <mergeCell ref="Z3:AA3"/>
    <mergeCell ref="AB3:AE3"/>
    <mergeCell ref="L3:L4"/>
    <mergeCell ref="Y3:Y4"/>
  </mergeCells>
  <phoneticPr fontId="14" type="noConversion"/>
  <pageMargins left="0.75" right="0.75" top="1" bottom="1" header="0.5" footer="0.5"/>
  <pageSetup paperSize="9" scale="75" orientation="landscape"/>
  <headerFooter>
    <oddFooter>&amp;C
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ZHOU Joey</cp:lastModifiedBy>
  <dcterms:created xsi:type="dcterms:W3CDTF">2025-06-24T16:53:00Z</dcterms:created>
  <dcterms:modified xsi:type="dcterms:W3CDTF">2025-08-29T13:24:07Z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1F32DB84FC2D4C6EA09D58A00F86A271_13</vt:lpwstr>
  </property>
  <property fmtid="{D5CDD505-2E9C-101B-9397-08002B2CF9AE}" pid="3" name="KSOProductBuildVer">
    <vt:lpwstr>2052-12.1.0.22529</vt:lpwstr>
  </property>
  <property fmtid="{D5CDD505-2E9C-101B-9397-08002B2CF9AE}" pid="4" name="MSIP_Label_f43b7177-c66c-4b22-a350-7ee86f9a1e74_Enabled">
    <vt:lpwstr>true</vt:lpwstr>
  </property>
  <property fmtid="{D5CDD505-2E9C-101B-9397-08002B2CF9AE}" pid="5" name="MSIP_Label_f43b7177-c66c-4b22-a350-7ee86f9a1e74_SetDate">
    <vt:lpwstr>2025-06-30T08:04:08Z</vt:lpwstr>
  </property>
  <property fmtid="{D5CDD505-2E9C-101B-9397-08002B2CF9AE}" pid="6" name="MSIP_Label_f43b7177-c66c-4b22-a350-7ee86f9a1e74_Method">
    <vt:lpwstr>Standard</vt:lpwstr>
  </property>
  <property fmtid="{D5CDD505-2E9C-101B-9397-08002B2CF9AE}" pid="7" name="MSIP_Label_f43b7177-c66c-4b22-a350-7ee86f9a1e74_Name">
    <vt:lpwstr>C1_Internal use</vt:lpwstr>
  </property>
  <property fmtid="{D5CDD505-2E9C-101B-9397-08002B2CF9AE}" pid="8" name="MSIP_Label_f43b7177-c66c-4b22-a350-7ee86f9a1e74_SiteId">
    <vt:lpwstr>e4e1abd9-eac7-4a71-ab52-da5c998aa7ba</vt:lpwstr>
  </property>
  <property fmtid="{D5CDD505-2E9C-101B-9397-08002B2CF9AE}" pid="9" name="MSIP_Label_f43b7177-c66c-4b22-a350-7ee86f9a1e74_ActionId">
    <vt:lpwstr>30cc453c-738c-4fcc-9098-d27ce8ffc587</vt:lpwstr>
  </property>
  <property fmtid="{D5CDD505-2E9C-101B-9397-08002B2CF9AE}" pid="10" name="MSIP_Label_f43b7177-c66c-4b22-a350-7ee86f9a1e74_ContentBits">
    <vt:lpwstr>2</vt:lpwstr>
  </property>
</Properties>
</file>