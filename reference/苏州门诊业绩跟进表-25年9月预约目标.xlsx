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joey.zhou\D\ACD\Project Y\DD\business plan\monthly activity\202509\"/>
    </mc:Choice>
  </mc:AlternateContent>
  <xr:revisionPtr revIDLastSave="0" documentId="13_ncr:1_{E22CCBA8-A06E-4248-90D4-74AA46B63D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Sheet1!$A$2:$AK$36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6" i="1" l="1"/>
  <c r="AP36" i="1" s="1"/>
  <c r="AO36" i="1"/>
  <c r="AN36" i="1"/>
  <c r="AP13" i="1"/>
  <c r="AP20" i="1"/>
  <c r="AP27" i="1"/>
  <c r="AP34" i="1"/>
  <c r="AP35" i="1"/>
  <c r="AP37" i="1"/>
  <c r="AP38" i="1"/>
  <c r="AP5" i="1"/>
  <c r="AM6" i="1"/>
  <c r="AM7" i="1"/>
  <c r="AP7" i="1" s="1"/>
  <c r="AM8" i="1"/>
  <c r="AP8" i="1" s="1"/>
  <c r="AM9" i="1"/>
  <c r="AP9" i="1" s="1"/>
  <c r="AM10" i="1"/>
  <c r="AP10" i="1" s="1"/>
  <c r="AM11" i="1"/>
  <c r="AP11" i="1" s="1"/>
  <c r="AM12" i="1"/>
  <c r="AP12" i="1" s="1"/>
  <c r="AM13" i="1"/>
  <c r="AM14" i="1"/>
  <c r="AP14" i="1" s="1"/>
  <c r="AM15" i="1"/>
  <c r="AP15" i="1" s="1"/>
  <c r="AM16" i="1"/>
  <c r="AP16" i="1" s="1"/>
  <c r="AM17" i="1"/>
  <c r="AP17" i="1" s="1"/>
  <c r="AM18" i="1"/>
  <c r="AP18" i="1" s="1"/>
  <c r="AM19" i="1"/>
  <c r="AP19" i="1" s="1"/>
  <c r="AM20" i="1"/>
  <c r="AM21" i="1"/>
  <c r="AP21" i="1" s="1"/>
  <c r="AM22" i="1"/>
  <c r="AP22" i="1" s="1"/>
  <c r="AM23" i="1"/>
  <c r="AP23" i="1" s="1"/>
  <c r="AM24" i="1"/>
  <c r="AP24" i="1" s="1"/>
  <c r="AM25" i="1"/>
  <c r="AP25" i="1" s="1"/>
  <c r="AM26" i="1"/>
  <c r="AP26" i="1" s="1"/>
  <c r="AM27" i="1"/>
  <c r="AM28" i="1"/>
  <c r="AP28" i="1" s="1"/>
  <c r="AM29" i="1"/>
  <c r="AP29" i="1" s="1"/>
  <c r="AM30" i="1"/>
  <c r="AP30" i="1" s="1"/>
  <c r="AM31" i="1"/>
  <c r="AP31" i="1" s="1"/>
  <c r="AM32" i="1"/>
  <c r="AP32" i="1" s="1"/>
  <c r="AM33" i="1"/>
  <c r="AP33" i="1" s="1"/>
  <c r="AM34" i="1"/>
  <c r="AM35" i="1"/>
  <c r="AM5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</calcChain>
</file>

<file path=xl/sharedStrings.xml><?xml version="1.0" encoding="utf-8"?>
<sst xmlns="http://schemas.openxmlformats.org/spreadsheetml/2006/main" count="582" uniqueCount="60">
  <si>
    <t>门店</t>
  </si>
  <si>
    <t>日期</t>
  </si>
  <si>
    <t>排Y</t>
  </si>
  <si>
    <t>开单</t>
  </si>
  <si>
    <r>
      <t>消耗目标</t>
    </r>
    <r>
      <rPr>
        <sz val="16"/>
        <color rgb="FFFF0000"/>
        <rFont val="等线"/>
      </rPr>
      <t>（每日：门店目标=健康管理人消耗目标）</t>
    </r>
  </si>
  <si>
    <t>李田田</t>
  </si>
  <si>
    <t>咨询</t>
  </si>
  <si>
    <t>护士</t>
  </si>
  <si>
    <t>医生</t>
  </si>
  <si>
    <t>客服</t>
  </si>
  <si>
    <t>专家日</t>
  </si>
  <si>
    <t>专场/沙龙</t>
  </si>
  <si>
    <t>门店开单目标
（612000）</t>
  </si>
  <si>
    <t>医生排Y</t>
  </si>
  <si>
    <r>
      <t>健康管理人</t>
    </r>
    <r>
      <rPr>
        <sz val="16"/>
        <color theme="1"/>
        <rFont val="等线"/>
      </rPr>
      <t>（含管理顾客的咨询及护士）</t>
    </r>
  </si>
  <si>
    <t>李雨婷</t>
  </si>
  <si>
    <t>刘艳萍</t>
  </si>
  <si>
    <t>刘珊珊</t>
  </si>
  <si>
    <t>陈静</t>
  </si>
  <si>
    <t>卢平</t>
  </si>
  <si>
    <t>李小敏</t>
  </si>
  <si>
    <t>杜静</t>
  </si>
  <si>
    <t>蔺悦怡</t>
  </si>
  <si>
    <t>陈雯</t>
  </si>
  <si>
    <t>张瑶</t>
  </si>
  <si>
    <t>李雨婷（36.2W）</t>
  </si>
  <si>
    <t>刘艳萍(25W)</t>
  </si>
  <si>
    <t>门店消耗目标
（510000）</t>
  </si>
  <si>
    <t>杜静（35w）</t>
  </si>
  <si>
    <t>蔺悦怡（16w)</t>
  </si>
  <si>
    <t>苏州</t>
  </si>
  <si>
    <t>Y</t>
  </si>
  <si>
    <t>周一</t>
  </si>
  <si>
    <t>周二</t>
  </si>
  <si>
    <t>周三</t>
  </si>
  <si>
    <t>周四</t>
  </si>
  <si>
    <t>周五</t>
  </si>
  <si>
    <t>周六</t>
  </si>
  <si>
    <t>周日</t>
  </si>
  <si>
    <t>汇总</t>
  </si>
  <si>
    <t>到诊人数目标</t>
  </si>
  <si>
    <t>去年同期</t>
  </si>
  <si>
    <t>增长</t>
  </si>
  <si>
    <t>正常疗程消耗</t>
  </si>
  <si>
    <t>有其他疗程</t>
  </si>
  <si>
    <t>复诊周期无疗程-有积分</t>
  </si>
  <si>
    <t>复诊周期无疗程-无积分</t>
  </si>
  <si>
    <t>生日</t>
  </si>
  <si>
    <t>客诉退款</t>
  </si>
  <si>
    <t>有项目余额</t>
  </si>
  <si>
    <t>组9</t>
  </si>
  <si>
    <t>组6-8</t>
  </si>
  <si>
    <t>生日礼</t>
  </si>
  <si>
    <t>其他</t>
  </si>
  <si>
    <t>公休</t>
  </si>
  <si>
    <t>休</t>
  </si>
  <si>
    <t>班</t>
  </si>
  <si>
    <t>杭州</t>
  </si>
  <si>
    <t>预约目标</t>
    <phoneticPr fontId="15" type="noConversion"/>
  </si>
  <si>
    <t>门店合计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</si>
</sst>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8" formatCode="0_ "/>
    <numFmt numFmtId="179" formatCode="#"/>
    <numFmt numFmtId="180" formatCode="#,##0_ "/>
    <numFmt numFmtId="182" formatCode="_ * #,##0_ ;_ * \-#,##0_ ;_ * &quot;-&quot;??_ ;_ @_ "/>
  </numFmts>
  <fonts count="16">
    <font>
      <sz val="11"/>
      <color theme="1"/>
      <name val="宋体"/>
      <charset val="134"/>
      <scheme val="minor"/>
    </font>
    <font>
      <b/>
      <sz val="11"/>
      <color rgb="FFFF0000"/>
      <name val="宋体"/>
    </font>
    <font>
      <b/>
      <sz val="11"/>
      <color rgb="FF000000"/>
      <name val="宋体"/>
    </font>
    <font>
      <sz val="16"/>
      <color rgb="FFFF0000"/>
      <name val="等线"/>
    </font>
    <font>
      <sz val="16"/>
      <color theme="1"/>
      <name val="等线"/>
    </font>
    <font>
      <sz val="16"/>
      <color theme="1"/>
      <name val="等线"/>
    </font>
    <font>
      <b/>
      <sz val="16"/>
      <color theme="1"/>
      <name val="等线"/>
    </font>
    <font>
      <b/>
      <sz val="16"/>
      <color rgb="FF000000"/>
      <name val="等线"/>
    </font>
    <font>
      <b/>
      <sz val="16"/>
      <name val="等线"/>
    </font>
    <font>
      <sz val="16"/>
      <color theme="1"/>
      <name val="宋体"/>
    </font>
    <font>
      <sz val="16"/>
      <color rgb="FFFF0000"/>
      <name val="宋体"/>
    </font>
    <font>
      <b/>
      <sz val="16"/>
      <color theme="1"/>
      <name val="等线"/>
    </font>
    <font>
      <b/>
      <sz val="16"/>
      <name val="等线"/>
    </font>
    <font>
      <sz val="16"/>
      <color rgb="FFFF0000"/>
      <name val="等线"/>
    </font>
    <font>
      <sz val="11"/>
      <color theme="1"/>
      <name val="宋体"/>
      <scheme val="minor"/>
    </font>
    <font>
      <sz val="9"/>
      <name val="宋体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 applyBorder="0">
      <alignment vertical="center"/>
    </xf>
    <xf numFmtId="43" fontId="14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 applyProtection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58" fontId="3" fillId="0" borderId="5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4" borderId="10" xfId="0" applyFont="1" applyFill="1" applyBorder="1" applyAlignment="1" applyProtection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8" fontId="4" fillId="0" borderId="5" xfId="0" applyNumberFormat="1" applyFont="1" applyFill="1" applyBorder="1" applyAlignment="1">
      <alignment horizontal="center" vertical="center"/>
    </xf>
    <xf numFmtId="178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 wrapText="1"/>
      <protection locked="0"/>
    </xf>
    <xf numFmtId="179" fontId="5" fillId="0" borderId="5" xfId="0" applyNumberFormat="1" applyFont="1" applyBorder="1" applyAlignment="1" applyProtection="1">
      <alignment horizontal="center" vertical="center"/>
      <protection locked="0"/>
    </xf>
    <xf numFmtId="179" fontId="13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 wrapText="1"/>
    </xf>
    <xf numFmtId="182" fontId="4" fillId="0" borderId="0" xfId="1" applyNumberFormat="1" applyFont="1" applyFill="1" applyAlignment="1">
      <alignment horizontal="center" vertical="center"/>
    </xf>
    <xf numFmtId="182" fontId="4" fillId="0" borderId="14" xfId="1" applyNumberFormat="1" applyFont="1" applyFill="1" applyBorder="1" applyAlignment="1" applyProtection="1">
      <alignment horizontal="center" vertical="center"/>
      <protection locked="0"/>
    </xf>
    <xf numFmtId="182" fontId="4" fillId="0" borderId="5" xfId="1" applyNumberFormat="1" applyFont="1" applyFill="1" applyBorder="1" applyAlignment="1">
      <alignment horizontal="center" vertical="center"/>
    </xf>
    <xf numFmtId="182" fontId="3" fillId="0" borderId="14" xfId="1" applyNumberFormat="1" applyFont="1" applyFill="1" applyBorder="1" applyAlignment="1" applyProtection="1">
      <alignment horizontal="center" vertical="center"/>
      <protection locked="0"/>
    </xf>
    <xf numFmtId="182" fontId="3" fillId="0" borderId="5" xfId="1" applyNumberFormat="1" applyFont="1" applyFill="1" applyBorder="1" applyAlignment="1">
      <alignment horizontal="center" vertical="center"/>
    </xf>
    <xf numFmtId="182" fontId="9" fillId="0" borderId="5" xfId="1" applyNumberFormat="1" applyFont="1" applyFill="1" applyBorder="1" applyAlignment="1">
      <alignment horizontal="center" vertical="center"/>
    </xf>
    <xf numFmtId="182" fontId="10" fillId="0" borderId="5" xfId="1" applyNumberFormat="1" applyFont="1" applyFill="1" applyBorder="1" applyAlignment="1">
      <alignment horizontal="center" vertical="center"/>
    </xf>
    <xf numFmtId="182" fontId="4" fillId="0" borderId="8" xfId="1" applyNumberFormat="1" applyFont="1" applyFill="1" applyBorder="1" applyAlignment="1">
      <alignment horizontal="center" vertical="center"/>
    </xf>
    <xf numFmtId="182" fontId="3" fillId="0" borderId="8" xfId="1" applyNumberFormat="1" applyFont="1" applyFill="1" applyBorder="1" applyAlignment="1">
      <alignment horizontal="center" vertical="center"/>
    </xf>
    <xf numFmtId="182" fontId="4" fillId="0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www.wps.cn/officeDocument/2021/sharedlinks" Target="NUL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110"/>
  <sheetViews>
    <sheetView tabSelected="1" zoomScale="40" zoomScaleNormal="40" workbookViewId="0">
      <pane xSplit="2" ySplit="4" topLeftCell="G21" activePane="bottomRight" state="frozen"/>
      <selection pane="topRight"/>
      <selection pane="bottomLeft"/>
      <selection pane="bottomRight" activeCell="AM40" sqref="AM40"/>
    </sheetView>
  </sheetViews>
  <sheetFormatPr defaultColWidth="9.1796875" defaultRowHeight="20"/>
  <cols>
    <col min="1" max="1" width="9.1796875" style="4"/>
    <col min="2" max="2" width="11.08984375" style="4"/>
    <col min="3" max="14" width="9.1796875" style="4" customWidth="1"/>
    <col min="15" max="15" width="10.6328125" style="4" customWidth="1"/>
    <col min="16" max="16" width="14" style="4" customWidth="1"/>
    <col min="17" max="17" width="11.36328125" style="4" customWidth="1"/>
    <col min="18" max="19" width="10.7265625" style="4" customWidth="1"/>
    <col min="20" max="20" width="10.90625" style="4" customWidth="1"/>
    <col min="21" max="26" width="9.81640625" style="4" customWidth="1"/>
    <col min="27" max="28" width="16.26953125" style="4" customWidth="1"/>
    <col min="29" max="29" width="15.26953125" style="4" customWidth="1"/>
    <col min="30" max="30" width="11.7265625" style="4" customWidth="1"/>
    <col min="31" max="31" width="16.90625" style="4" customWidth="1"/>
    <col min="32" max="32" width="12.08984375" style="4" customWidth="1"/>
    <col min="33" max="33" width="10" style="4" customWidth="1"/>
    <col min="34" max="34" width="10.26953125" style="4" customWidth="1"/>
    <col min="35" max="36" width="9.81640625" style="4" customWidth="1"/>
    <col min="37" max="37" width="9.1796875" style="4"/>
    <col min="38" max="38" width="14.26953125" style="5" customWidth="1"/>
    <col min="39" max="39" width="13.7265625" style="4" customWidth="1"/>
    <col min="40" max="40" width="12.6328125" style="4" customWidth="1"/>
    <col min="41" max="41" width="13.08984375" style="4" customWidth="1"/>
    <col min="42" max="42" width="12.36328125" style="62" customWidth="1"/>
    <col min="43" max="16384" width="9.1796875" style="4"/>
  </cols>
  <sheetData>
    <row r="2" spans="1:42">
      <c r="A2" s="51" t="s">
        <v>0</v>
      </c>
      <c r="B2" s="53" t="s">
        <v>1</v>
      </c>
      <c r="C2" s="31" t="s">
        <v>2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  <c r="P2" s="33" t="s">
        <v>3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36" t="s">
        <v>4</v>
      </c>
      <c r="AE2" s="37"/>
      <c r="AF2" s="37"/>
      <c r="AG2" s="37"/>
      <c r="AH2" s="37"/>
      <c r="AI2" s="37"/>
      <c r="AJ2" s="37"/>
      <c r="AK2" s="38"/>
      <c r="AL2" s="23"/>
    </row>
    <row r="3" spans="1:42">
      <c r="A3" s="52"/>
      <c r="B3" s="54"/>
      <c r="C3" s="46" t="s">
        <v>5</v>
      </c>
      <c r="D3" s="39" t="s">
        <v>6</v>
      </c>
      <c r="E3" s="40"/>
      <c r="F3" s="39" t="s">
        <v>7</v>
      </c>
      <c r="G3" s="40"/>
      <c r="H3" s="41"/>
      <c r="I3" s="39" t="s">
        <v>8</v>
      </c>
      <c r="J3" s="40"/>
      <c r="K3" s="41"/>
      <c r="L3" s="39" t="s">
        <v>9</v>
      </c>
      <c r="M3" s="40"/>
      <c r="N3" s="46" t="s">
        <v>10</v>
      </c>
      <c r="O3" s="39" t="s">
        <v>11</v>
      </c>
      <c r="P3" s="55" t="s">
        <v>12</v>
      </c>
      <c r="Q3" s="42" t="s">
        <v>6</v>
      </c>
      <c r="R3" s="43"/>
      <c r="S3" s="43"/>
      <c r="T3" s="44"/>
      <c r="U3" s="45" t="s">
        <v>7</v>
      </c>
      <c r="V3" s="45"/>
      <c r="W3" s="45"/>
      <c r="X3" s="45"/>
      <c r="Y3" s="45"/>
      <c r="Z3" s="45"/>
      <c r="AA3" s="46" t="s">
        <v>13</v>
      </c>
      <c r="AB3" s="46"/>
      <c r="AC3" s="47"/>
      <c r="AE3" s="48" t="s">
        <v>14</v>
      </c>
      <c r="AF3" s="49"/>
      <c r="AG3" s="49"/>
      <c r="AH3" s="50"/>
      <c r="AI3" s="46" t="s">
        <v>13</v>
      </c>
      <c r="AJ3" s="46"/>
      <c r="AK3" s="47"/>
      <c r="AL3" s="24"/>
      <c r="AM3" s="58" t="s">
        <v>58</v>
      </c>
      <c r="AN3" s="59"/>
      <c r="AO3" s="60"/>
    </row>
    <row r="4" spans="1:42" ht="46" customHeight="1">
      <c r="A4" s="52"/>
      <c r="B4" s="54"/>
      <c r="C4" s="46"/>
      <c r="D4" s="7" t="s">
        <v>15</v>
      </c>
      <c r="E4" s="7" t="s">
        <v>16</v>
      </c>
      <c r="F4" s="8" t="s">
        <v>17</v>
      </c>
      <c r="G4" s="8" t="s">
        <v>18</v>
      </c>
      <c r="H4" s="8" t="s">
        <v>19</v>
      </c>
      <c r="I4" s="13" t="s">
        <v>20</v>
      </c>
      <c r="J4" s="7" t="s">
        <v>21</v>
      </c>
      <c r="K4" s="14" t="s">
        <v>22</v>
      </c>
      <c r="L4" s="15" t="s">
        <v>23</v>
      </c>
      <c r="M4" s="6" t="s">
        <v>24</v>
      </c>
      <c r="N4" s="46"/>
      <c r="O4" s="39"/>
      <c r="P4" s="56"/>
      <c r="Q4" s="7" t="s">
        <v>25</v>
      </c>
      <c r="R4" s="7" t="s">
        <v>26</v>
      </c>
      <c r="S4" s="7"/>
      <c r="T4" s="7"/>
      <c r="U4" s="19"/>
      <c r="V4" s="19"/>
      <c r="W4" s="19"/>
      <c r="X4" s="19"/>
      <c r="Y4" s="19"/>
      <c r="Z4" s="19"/>
      <c r="AA4" s="21" t="s">
        <v>27</v>
      </c>
      <c r="AB4" s="7" t="s">
        <v>28</v>
      </c>
      <c r="AC4" s="14" t="s">
        <v>29</v>
      </c>
      <c r="AE4" s="22" t="s">
        <v>15</v>
      </c>
      <c r="AF4" s="22" t="s">
        <v>16</v>
      </c>
      <c r="AG4" s="22"/>
      <c r="AH4" s="22"/>
      <c r="AI4" s="7" t="s">
        <v>21</v>
      </c>
      <c r="AJ4" s="14" t="s">
        <v>22</v>
      </c>
      <c r="AK4" s="20"/>
      <c r="AL4" s="25"/>
      <c r="AM4" s="57" t="s">
        <v>59</v>
      </c>
      <c r="AN4" s="61" t="s">
        <v>15</v>
      </c>
      <c r="AO4" s="61" t="s">
        <v>16</v>
      </c>
    </row>
    <row r="5" spans="1:42" ht="47" customHeight="1">
      <c r="A5" s="9" t="s">
        <v>30</v>
      </c>
      <c r="B5" s="10">
        <v>45901</v>
      </c>
      <c r="C5" s="9" t="s">
        <v>31</v>
      </c>
      <c r="D5" s="9"/>
      <c r="E5" s="9" t="s">
        <v>31</v>
      </c>
      <c r="F5" s="9" t="s">
        <v>31</v>
      </c>
      <c r="G5" s="9" t="s">
        <v>31</v>
      </c>
      <c r="H5" s="9" t="s">
        <v>31</v>
      </c>
      <c r="I5" s="9" t="s">
        <v>31</v>
      </c>
      <c r="J5" s="9" t="s">
        <v>31</v>
      </c>
      <c r="K5" s="9" t="s">
        <v>31</v>
      </c>
      <c r="L5" s="9" t="s">
        <v>31</v>
      </c>
      <c r="M5" s="9" t="s">
        <v>31</v>
      </c>
      <c r="O5" s="9"/>
      <c r="P5" s="16">
        <v>10000</v>
      </c>
      <c r="Q5" s="16"/>
      <c r="R5" s="16">
        <v>10000</v>
      </c>
      <c r="S5" s="9"/>
      <c r="T5" s="9"/>
      <c r="U5" s="9"/>
      <c r="V5" s="9"/>
      <c r="W5" s="9"/>
      <c r="X5" s="9"/>
      <c r="Y5" s="9"/>
      <c r="Z5" s="9"/>
      <c r="AA5" s="63">
        <v>10000</v>
      </c>
      <c r="AB5" s="64"/>
      <c r="AC5" s="64">
        <v>10000</v>
      </c>
      <c r="AD5" s="64"/>
      <c r="AE5" s="64"/>
      <c r="AF5" s="64">
        <v>10000</v>
      </c>
      <c r="AG5" s="9"/>
      <c r="AH5" s="9"/>
      <c r="AI5" s="9" t="s">
        <v>31</v>
      </c>
      <c r="AJ5" s="9" t="s">
        <v>31</v>
      </c>
      <c r="AK5" s="9"/>
      <c r="AL5" s="25" t="s">
        <v>32</v>
      </c>
      <c r="AM5" s="9">
        <f>AN5+AO5</f>
        <v>4</v>
      </c>
      <c r="AN5" s="9"/>
      <c r="AO5" s="9">
        <v>4</v>
      </c>
      <c r="AP5" s="62">
        <f>AA5/AM5</f>
        <v>2500</v>
      </c>
    </row>
    <row r="6" spans="1:42" s="3" customFormat="1" ht="47" customHeight="1">
      <c r="A6" s="11" t="s">
        <v>30</v>
      </c>
      <c r="B6" s="12">
        <v>45902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1"/>
      <c r="O6" s="11"/>
      <c r="P6" s="17"/>
      <c r="Q6" s="17"/>
      <c r="R6" s="17"/>
      <c r="S6" s="9"/>
      <c r="T6" s="9"/>
      <c r="U6" s="11"/>
      <c r="V6" s="11"/>
      <c r="W6" s="11"/>
      <c r="X6" s="11"/>
      <c r="Y6" s="9"/>
      <c r="Z6" s="9"/>
      <c r="AA6" s="65"/>
      <c r="AB6" s="66"/>
      <c r="AC6" s="66"/>
      <c r="AD6" s="66"/>
      <c r="AE6" s="66"/>
      <c r="AF6" s="66"/>
      <c r="AG6" s="9"/>
      <c r="AH6" s="9"/>
      <c r="AI6" s="9"/>
      <c r="AJ6" s="9"/>
      <c r="AK6" s="11"/>
      <c r="AL6" s="26" t="s">
        <v>33</v>
      </c>
      <c r="AM6" s="9">
        <f t="shared" ref="AM6:AM35" si="0">AN6+AO6</f>
        <v>0</v>
      </c>
      <c r="AN6" s="11"/>
      <c r="AO6" s="11"/>
      <c r="AP6" s="62"/>
    </row>
    <row r="7" spans="1:42" ht="47" customHeight="1">
      <c r="A7" s="9" t="s">
        <v>30</v>
      </c>
      <c r="B7" s="10">
        <v>45903</v>
      </c>
      <c r="C7" s="9"/>
      <c r="D7" s="9" t="s">
        <v>31</v>
      </c>
      <c r="E7" s="9" t="s">
        <v>31</v>
      </c>
      <c r="F7" s="9" t="s">
        <v>31</v>
      </c>
      <c r="G7" s="9" t="s">
        <v>31</v>
      </c>
      <c r="H7" s="9" t="s">
        <v>31</v>
      </c>
      <c r="I7" s="9" t="s">
        <v>31</v>
      </c>
      <c r="J7" s="9" t="s">
        <v>31</v>
      </c>
      <c r="K7" s="9" t="s">
        <v>31</v>
      </c>
      <c r="L7" s="9" t="s">
        <v>31</v>
      </c>
      <c r="M7" s="9" t="s">
        <v>31</v>
      </c>
      <c r="N7" s="9"/>
      <c r="O7" s="9"/>
      <c r="P7" s="16">
        <v>10000</v>
      </c>
      <c r="Q7" s="16">
        <v>5000</v>
      </c>
      <c r="R7" s="16">
        <v>5000</v>
      </c>
      <c r="S7" s="9"/>
      <c r="T7" s="9"/>
      <c r="U7" s="9"/>
      <c r="V7" s="9"/>
      <c r="W7" s="9"/>
      <c r="X7" s="9"/>
      <c r="Y7" s="9"/>
      <c r="Z7" s="9"/>
      <c r="AA7" s="63">
        <v>10000</v>
      </c>
      <c r="AB7" s="64">
        <v>5000</v>
      </c>
      <c r="AC7" s="64">
        <v>5000</v>
      </c>
      <c r="AD7" s="64"/>
      <c r="AE7" s="64">
        <v>5000</v>
      </c>
      <c r="AF7" s="64">
        <v>5000</v>
      </c>
      <c r="AG7" s="9"/>
      <c r="AH7" s="9"/>
      <c r="AI7" s="9" t="s">
        <v>31</v>
      </c>
      <c r="AJ7" s="9" t="s">
        <v>31</v>
      </c>
      <c r="AK7" s="9"/>
      <c r="AL7" s="27" t="s">
        <v>34</v>
      </c>
      <c r="AM7" s="9">
        <f t="shared" si="0"/>
        <v>5</v>
      </c>
      <c r="AN7" s="9">
        <v>3</v>
      </c>
      <c r="AO7" s="9">
        <v>2</v>
      </c>
      <c r="AP7" s="62">
        <f t="shared" ref="AP6:AP38" si="1">AA7/AM7</f>
        <v>2000</v>
      </c>
    </row>
    <row r="8" spans="1:42" ht="47" customHeight="1">
      <c r="A8" s="9" t="s">
        <v>30</v>
      </c>
      <c r="B8" s="10">
        <v>45904</v>
      </c>
      <c r="C8" s="9" t="s">
        <v>31</v>
      </c>
      <c r="D8" s="9" t="s">
        <v>31</v>
      </c>
      <c r="E8" s="9" t="s">
        <v>31</v>
      </c>
      <c r="F8" s="9" t="s">
        <v>31</v>
      </c>
      <c r="G8" s="9" t="s">
        <v>31</v>
      </c>
      <c r="H8" s="9" t="s">
        <v>31</v>
      </c>
      <c r="I8" s="9" t="s">
        <v>31</v>
      </c>
      <c r="J8" s="9" t="s">
        <v>31</v>
      </c>
      <c r="K8" s="9" t="s">
        <v>31</v>
      </c>
      <c r="L8" s="9" t="s">
        <v>31</v>
      </c>
      <c r="M8" s="9" t="s">
        <v>31</v>
      </c>
      <c r="N8" s="9"/>
      <c r="O8" s="9"/>
      <c r="P8" s="16">
        <v>20000</v>
      </c>
      <c r="Q8" s="16">
        <v>10000</v>
      </c>
      <c r="R8" s="16">
        <v>10000</v>
      </c>
      <c r="S8" s="9"/>
      <c r="T8" s="9"/>
      <c r="U8" s="9"/>
      <c r="V8" s="9"/>
      <c r="W8" s="9"/>
      <c r="X8" s="9"/>
      <c r="Y8" s="9"/>
      <c r="Z8" s="9"/>
      <c r="AA8" s="63">
        <v>10000</v>
      </c>
      <c r="AB8" s="64">
        <v>5000</v>
      </c>
      <c r="AC8" s="67">
        <v>5000</v>
      </c>
      <c r="AD8" s="64"/>
      <c r="AE8" s="64">
        <v>5000</v>
      </c>
      <c r="AF8" s="67">
        <v>5000</v>
      </c>
      <c r="AG8" s="9"/>
      <c r="AH8" s="9"/>
      <c r="AI8" s="9" t="s">
        <v>31</v>
      </c>
      <c r="AJ8" s="9" t="s">
        <v>31</v>
      </c>
      <c r="AK8" s="9"/>
      <c r="AL8" s="25" t="s">
        <v>35</v>
      </c>
      <c r="AM8" s="9">
        <f t="shared" si="0"/>
        <v>6</v>
      </c>
      <c r="AN8" s="9">
        <v>3</v>
      </c>
      <c r="AO8" s="9">
        <v>3</v>
      </c>
      <c r="AP8" s="62">
        <f t="shared" si="1"/>
        <v>1666.6666666666667</v>
      </c>
    </row>
    <row r="9" spans="1:42" ht="47" customHeight="1">
      <c r="A9" s="9" t="s">
        <v>30</v>
      </c>
      <c r="B9" s="10">
        <v>45905</v>
      </c>
      <c r="C9" s="9" t="s">
        <v>31</v>
      </c>
      <c r="D9" s="9" t="s">
        <v>31</v>
      </c>
      <c r="E9" s="9" t="s">
        <v>31</v>
      </c>
      <c r="F9" s="9" t="s">
        <v>31</v>
      </c>
      <c r="G9" s="9" t="s">
        <v>31</v>
      </c>
      <c r="H9" s="9" t="s">
        <v>31</v>
      </c>
      <c r="I9" s="9" t="s">
        <v>31</v>
      </c>
      <c r="J9" s="9" t="s">
        <v>31</v>
      </c>
      <c r="K9" s="9" t="s">
        <v>31</v>
      </c>
      <c r="L9" s="9" t="s">
        <v>31</v>
      </c>
      <c r="M9" s="9" t="s">
        <v>31</v>
      </c>
      <c r="N9" s="9"/>
      <c r="O9" s="9"/>
      <c r="P9" s="16">
        <v>20000</v>
      </c>
      <c r="Q9" s="16">
        <v>10000</v>
      </c>
      <c r="R9" s="16">
        <v>10000</v>
      </c>
      <c r="S9" s="9"/>
      <c r="T9" s="9"/>
      <c r="U9" s="9"/>
      <c r="V9" s="9"/>
      <c r="W9" s="9"/>
      <c r="X9" s="9"/>
      <c r="Y9" s="9"/>
      <c r="Z9" s="9"/>
      <c r="AA9" s="67">
        <v>20000</v>
      </c>
      <c r="AB9" s="67">
        <v>15000</v>
      </c>
      <c r="AC9" s="67">
        <v>5000</v>
      </c>
      <c r="AD9" s="64"/>
      <c r="AE9" s="67">
        <v>15000</v>
      </c>
      <c r="AF9" s="67">
        <v>5000</v>
      </c>
      <c r="AG9" s="9"/>
      <c r="AH9" s="9"/>
      <c r="AI9" s="9" t="s">
        <v>31</v>
      </c>
      <c r="AJ9" s="9" t="s">
        <v>31</v>
      </c>
      <c r="AK9" s="9"/>
      <c r="AL9" s="25" t="s">
        <v>36</v>
      </c>
      <c r="AM9" s="9">
        <f t="shared" si="0"/>
        <v>8</v>
      </c>
      <c r="AN9" s="9">
        <v>5</v>
      </c>
      <c r="AO9" s="9">
        <v>3</v>
      </c>
      <c r="AP9" s="62">
        <f t="shared" si="1"/>
        <v>2500</v>
      </c>
    </row>
    <row r="10" spans="1:42" ht="47" customHeight="1">
      <c r="A10" s="9" t="s">
        <v>30</v>
      </c>
      <c r="B10" s="10">
        <v>45906</v>
      </c>
      <c r="C10" s="9" t="s">
        <v>31</v>
      </c>
      <c r="D10" s="9" t="s">
        <v>31</v>
      </c>
      <c r="E10" s="9" t="s">
        <v>31</v>
      </c>
      <c r="F10" s="9" t="s">
        <v>31</v>
      </c>
      <c r="G10" s="9" t="s">
        <v>31</v>
      </c>
      <c r="H10" s="9" t="s">
        <v>31</v>
      </c>
      <c r="I10" s="9" t="s">
        <v>31</v>
      </c>
      <c r="J10" s="9" t="s">
        <v>31</v>
      </c>
      <c r="K10" s="9" t="s">
        <v>31</v>
      </c>
      <c r="L10" s="9" t="s">
        <v>31</v>
      </c>
      <c r="M10" s="9" t="s">
        <v>31</v>
      </c>
      <c r="N10" s="9"/>
      <c r="O10" s="9"/>
      <c r="P10" s="16">
        <v>30000</v>
      </c>
      <c r="Q10" s="16">
        <v>15000</v>
      </c>
      <c r="R10" s="16">
        <v>15000</v>
      </c>
      <c r="S10" s="9"/>
      <c r="T10" s="9"/>
      <c r="U10" s="9"/>
      <c r="V10" s="9"/>
      <c r="W10" s="9"/>
      <c r="X10" s="9"/>
      <c r="Y10" s="9"/>
      <c r="Z10" s="9"/>
      <c r="AA10" s="64">
        <v>20000</v>
      </c>
      <c r="AB10" s="64">
        <v>15000</v>
      </c>
      <c r="AC10" s="67">
        <v>5000</v>
      </c>
      <c r="AD10" s="64"/>
      <c r="AE10" s="64">
        <v>15000</v>
      </c>
      <c r="AF10" s="67">
        <v>5000</v>
      </c>
      <c r="AG10" s="9"/>
      <c r="AH10" s="9"/>
      <c r="AI10" s="9" t="s">
        <v>31</v>
      </c>
      <c r="AJ10" s="9" t="s">
        <v>31</v>
      </c>
      <c r="AK10" s="9"/>
      <c r="AL10" s="25" t="s">
        <v>37</v>
      </c>
      <c r="AM10" s="9">
        <f t="shared" si="0"/>
        <v>8</v>
      </c>
      <c r="AN10" s="9">
        <v>5</v>
      </c>
      <c r="AO10" s="9">
        <v>3</v>
      </c>
      <c r="AP10" s="62">
        <f t="shared" si="1"/>
        <v>2500</v>
      </c>
    </row>
    <row r="11" spans="1:42" ht="47" customHeight="1">
      <c r="A11" s="9" t="s">
        <v>30</v>
      </c>
      <c r="B11" s="10">
        <v>45907</v>
      </c>
      <c r="C11" s="9" t="s">
        <v>31</v>
      </c>
      <c r="D11" s="9" t="s">
        <v>31</v>
      </c>
      <c r="E11" s="9" t="s">
        <v>31</v>
      </c>
      <c r="F11" s="9" t="s">
        <v>31</v>
      </c>
      <c r="G11" s="9" t="s">
        <v>31</v>
      </c>
      <c r="H11" s="9" t="s">
        <v>31</v>
      </c>
      <c r="I11" s="9" t="s">
        <v>31</v>
      </c>
      <c r="J11" s="9" t="s">
        <v>31</v>
      </c>
      <c r="K11" s="9" t="s">
        <v>31</v>
      </c>
      <c r="L11" s="9" t="s">
        <v>31</v>
      </c>
      <c r="M11" s="9" t="s">
        <v>31</v>
      </c>
      <c r="N11" s="9"/>
      <c r="O11" s="18"/>
      <c r="P11" s="16">
        <v>30000</v>
      </c>
      <c r="Q11" s="16">
        <v>20000</v>
      </c>
      <c r="R11" s="16">
        <v>10000</v>
      </c>
      <c r="S11" s="9"/>
      <c r="T11" s="9"/>
      <c r="U11" s="9"/>
      <c r="V11" s="9"/>
      <c r="W11" s="9"/>
      <c r="X11" s="9"/>
      <c r="Y11" s="9"/>
      <c r="Z11" s="9"/>
      <c r="AA11" s="64">
        <v>20000</v>
      </c>
      <c r="AB11" s="64">
        <v>15000</v>
      </c>
      <c r="AC11" s="67">
        <v>5000</v>
      </c>
      <c r="AD11" s="64"/>
      <c r="AE11" s="64">
        <v>15000</v>
      </c>
      <c r="AF11" s="67">
        <v>5000</v>
      </c>
      <c r="AG11" s="9"/>
      <c r="AH11" s="9"/>
      <c r="AI11" s="9" t="s">
        <v>31</v>
      </c>
      <c r="AJ11" s="9" t="s">
        <v>31</v>
      </c>
      <c r="AK11" s="9"/>
      <c r="AL11" s="25" t="s">
        <v>38</v>
      </c>
      <c r="AM11" s="9">
        <f t="shared" si="0"/>
        <v>8</v>
      </c>
      <c r="AN11" s="9">
        <v>5</v>
      </c>
      <c r="AO11" s="9">
        <v>3</v>
      </c>
      <c r="AP11" s="62">
        <f t="shared" si="1"/>
        <v>2500</v>
      </c>
    </row>
    <row r="12" spans="1:42" ht="47" customHeight="1">
      <c r="A12" s="9" t="s">
        <v>30</v>
      </c>
      <c r="B12" s="10">
        <v>45908</v>
      </c>
      <c r="C12" s="9" t="s">
        <v>31</v>
      </c>
      <c r="D12" s="9" t="s">
        <v>31</v>
      </c>
      <c r="E12" s="9"/>
      <c r="F12" s="9" t="s">
        <v>31</v>
      </c>
      <c r="G12" s="9" t="s">
        <v>31</v>
      </c>
      <c r="H12" s="9" t="s">
        <v>31</v>
      </c>
      <c r="I12" s="9" t="s">
        <v>31</v>
      </c>
      <c r="J12" s="9"/>
      <c r="K12" s="9" t="s">
        <v>31</v>
      </c>
      <c r="L12" s="9" t="s">
        <v>31</v>
      </c>
      <c r="M12" s="9" t="s">
        <v>31</v>
      </c>
      <c r="N12" s="9"/>
      <c r="O12" s="9"/>
      <c r="P12" s="16">
        <v>10000</v>
      </c>
      <c r="Q12" s="16">
        <v>10000</v>
      </c>
      <c r="R12" s="16"/>
      <c r="S12" s="9"/>
      <c r="T12" s="9"/>
      <c r="U12" s="9"/>
      <c r="V12" s="9"/>
      <c r="W12" s="9"/>
      <c r="X12" s="9"/>
      <c r="Y12" s="9"/>
      <c r="Z12" s="9"/>
      <c r="AA12" s="64">
        <v>10000</v>
      </c>
      <c r="AB12" s="64">
        <v>10000</v>
      </c>
      <c r="AC12" s="67"/>
      <c r="AD12" s="64"/>
      <c r="AE12" s="64">
        <v>10000</v>
      </c>
      <c r="AF12" s="67"/>
      <c r="AG12" s="9"/>
      <c r="AH12" s="9"/>
      <c r="AI12" s="9"/>
      <c r="AJ12" s="9" t="s">
        <v>31</v>
      </c>
      <c r="AK12" s="9"/>
      <c r="AL12" s="25" t="s">
        <v>32</v>
      </c>
      <c r="AM12" s="9">
        <f t="shared" si="0"/>
        <v>4</v>
      </c>
      <c r="AN12" s="9">
        <v>4</v>
      </c>
      <c r="AO12" s="9"/>
      <c r="AP12" s="62">
        <f t="shared" si="1"/>
        <v>2500</v>
      </c>
    </row>
    <row r="13" spans="1:42" s="3" customFormat="1" ht="47" customHeight="1">
      <c r="A13" s="11" t="s">
        <v>30</v>
      </c>
      <c r="B13" s="12">
        <v>45909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1"/>
      <c r="O13" s="11"/>
      <c r="P13" s="17"/>
      <c r="Q13" s="17"/>
      <c r="R13" s="17"/>
      <c r="S13" s="9"/>
      <c r="T13" s="9"/>
      <c r="U13" s="11"/>
      <c r="V13" s="11"/>
      <c r="W13" s="11"/>
      <c r="X13" s="11"/>
      <c r="Y13" s="9"/>
      <c r="Z13" s="9"/>
      <c r="AA13" s="65"/>
      <c r="AB13" s="66"/>
      <c r="AC13" s="68"/>
      <c r="AD13" s="66"/>
      <c r="AE13" s="66"/>
      <c r="AF13" s="66"/>
      <c r="AG13" s="9"/>
      <c r="AH13" s="9"/>
      <c r="AI13" s="9"/>
      <c r="AJ13" s="9"/>
      <c r="AK13" s="11"/>
      <c r="AL13" s="26" t="s">
        <v>33</v>
      </c>
      <c r="AM13" s="9">
        <f t="shared" si="0"/>
        <v>0</v>
      </c>
      <c r="AN13" s="11"/>
      <c r="AO13" s="11"/>
      <c r="AP13" s="62" t="e">
        <f t="shared" si="1"/>
        <v>#DIV/0!</v>
      </c>
    </row>
    <row r="14" spans="1:42" ht="47" customHeight="1">
      <c r="A14" s="9" t="s">
        <v>30</v>
      </c>
      <c r="B14" s="10">
        <v>45910</v>
      </c>
      <c r="C14" s="9"/>
      <c r="D14" s="9" t="s">
        <v>31</v>
      </c>
      <c r="E14" s="9" t="s">
        <v>31</v>
      </c>
      <c r="F14" s="9"/>
      <c r="G14" s="9" t="s">
        <v>31</v>
      </c>
      <c r="H14" s="9" t="s">
        <v>31</v>
      </c>
      <c r="I14" s="9" t="s">
        <v>31</v>
      </c>
      <c r="J14" s="9" t="s">
        <v>31</v>
      </c>
      <c r="K14" s="9"/>
      <c r="L14" s="9" t="s">
        <v>31</v>
      </c>
      <c r="M14" s="9"/>
      <c r="N14" s="9"/>
      <c r="O14" s="9"/>
      <c r="P14" s="16">
        <v>15000</v>
      </c>
      <c r="Q14" s="16">
        <v>10000</v>
      </c>
      <c r="R14" s="16">
        <v>5000</v>
      </c>
      <c r="S14" s="9"/>
      <c r="T14" s="9"/>
      <c r="U14" s="9"/>
      <c r="V14" s="9"/>
      <c r="W14" s="9"/>
      <c r="X14" s="9"/>
      <c r="Y14" s="9"/>
      <c r="Z14" s="9"/>
      <c r="AA14" s="63">
        <v>10000</v>
      </c>
      <c r="AB14" s="64">
        <v>5000</v>
      </c>
      <c r="AC14" s="64">
        <v>5000</v>
      </c>
      <c r="AD14" s="64"/>
      <c r="AE14" s="64">
        <v>5000</v>
      </c>
      <c r="AF14" s="64">
        <v>5000</v>
      </c>
      <c r="AG14" s="9"/>
      <c r="AH14" s="9"/>
      <c r="AI14" s="9" t="s">
        <v>31</v>
      </c>
      <c r="AJ14" s="9"/>
      <c r="AK14" s="9"/>
      <c r="AL14" s="27" t="s">
        <v>34</v>
      </c>
      <c r="AM14" s="9">
        <f t="shared" si="0"/>
        <v>5</v>
      </c>
      <c r="AN14" s="9">
        <v>2</v>
      </c>
      <c r="AO14" s="9">
        <v>3</v>
      </c>
      <c r="AP14" s="62">
        <f t="shared" si="1"/>
        <v>2000</v>
      </c>
    </row>
    <row r="15" spans="1:42" ht="47" customHeight="1">
      <c r="A15" s="9" t="s">
        <v>30</v>
      </c>
      <c r="B15" s="10">
        <v>45911</v>
      </c>
      <c r="C15" s="9" t="s">
        <v>31</v>
      </c>
      <c r="D15" s="9" t="s">
        <v>31</v>
      </c>
      <c r="E15" s="9" t="s">
        <v>31</v>
      </c>
      <c r="F15" s="9" t="s">
        <v>31</v>
      </c>
      <c r="G15" s="9" t="s">
        <v>31</v>
      </c>
      <c r="H15" s="9" t="s">
        <v>31</v>
      </c>
      <c r="I15" s="9" t="s">
        <v>31</v>
      </c>
      <c r="J15" s="9" t="s">
        <v>31</v>
      </c>
      <c r="K15" s="9" t="s">
        <v>31</v>
      </c>
      <c r="L15" s="9" t="s">
        <v>31</v>
      </c>
      <c r="M15" s="9" t="s">
        <v>31</v>
      </c>
      <c r="N15" s="9"/>
      <c r="O15" s="9"/>
      <c r="P15" s="16">
        <v>15000</v>
      </c>
      <c r="Q15" s="16">
        <v>10000</v>
      </c>
      <c r="R15" s="16">
        <v>5000</v>
      </c>
      <c r="S15" s="9"/>
      <c r="T15" s="9"/>
      <c r="U15" s="9"/>
      <c r="V15" s="9"/>
      <c r="W15" s="9"/>
      <c r="X15" s="9"/>
      <c r="Y15" s="9"/>
      <c r="Z15" s="9"/>
      <c r="AA15" s="63">
        <v>10000</v>
      </c>
      <c r="AB15" s="64">
        <v>5000</v>
      </c>
      <c r="AC15" s="64">
        <v>5000</v>
      </c>
      <c r="AD15" s="64"/>
      <c r="AE15" s="64">
        <v>5000</v>
      </c>
      <c r="AF15" s="64">
        <v>5000</v>
      </c>
      <c r="AG15" s="9"/>
      <c r="AH15" s="9"/>
      <c r="AI15" s="9" t="s">
        <v>31</v>
      </c>
      <c r="AJ15" s="9" t="s">
        <v>31</v>
      </c>
      <c r="AK15" s="9"/>
      <c r="AL15" s="25" t="s">
        <v>35</v>
      </c>
      <c r="AM15" s="9">
        <f t="shared" si="0"/>
        <v>5</v>
      </c>
      <c r="AN15" s="9">
        <v>3</v>
      </c>
      <c r="AO15" s="9">
        <v>2</v>
      </c>
      <c r="AP15" s="62">
        <f t="shared" si="1"/>
        <v>2000</v>
      </c>
    </row>
    <row r="16" spans="1:42" ht="47" customHeight="1">
      <c r="A16" s="9" t="s">
        <v>30</v>
      </c>
      <c r="B16" s="10">
        <v>45912</v>
      </c>
      <c r="C16" s="9" t="s">
        <v>31</v>
      </c>
      <c r="D16" s="9" t="s">
        <v>31</v>
      </c>
      <c r="E16" s="9" t="s">
        <v>31</v>
      </c>
      <c r="F16" s="9" t="s">
        <v>31</v>
      </c>
      <c r="G16" s="9" t="s">
        <v>31</v>
      </c>
      <c r="H16" s="9" t="s">
        <v>31</v>
      </c>
      <c r="I16" s="9" t="s">
        <v>31</v>
      </c>
      <c r="J16" s="9" t="s">
        <v>31</v>
      </c>
      <c r="K16" s="9" t="s">
        <v>31</v>
      </c>
      <c r="L16" s="9" t="s">
        <v>31</v>
      </c>
      <c r="M16" s="9" t="s">
        <v>31</v>
      </c>
      <c r="N16" s="9"/>
      <c r="O16" s="9"/>
      <c r="P16" s="16">
        <v>20000</v>
      </c>
      <c r="Q16" s="16">
        <v>15000</v>
      </c>
      <c r="R16" s="16">
        <v>5000</v>
      </c>
      <c r="S16" s="9"/>
      <c r="T16" s="9"/>
      <c r="U16" s="9"/>
      <c r="V16" s="9"/>
      <c r="W16" s="9"/>
      <c r="X16" s="9"/>
      <c r="Y16" s="9"/>
      <c r="Z16" s="9"/>
      <c r="AA16" s="67">
        <v>20000</v>
      </c>
      <c r="AB16" s="67">
        <v>15000</v>
      </c>
      <c r="AC16" s="67">
        <v>5000</v>
      </c>
      <c r="AD16" s="64"/>
      <c r="AE16" s="67">
        <v>15000</v>
      </c>
      <c r="AF16" s="67">
        <v>5000</v>
      </c>
      <c r="AG16" s="9"/>
      <c r="AH16" s="9"/>
      <c r="AI16" s="9" t="s">
        <v>31</v>
      </c>
      <c r="AJ16" s="9" t="s">
        <v>31</v>
      </c>
      <c r="AK16" s="9"/>
      <c r="AL16" s="25" t="s">
        <v>36</v>
      </c>
      <c r="AM16" s="9">
        <f t="shared" si="0"/>
        <v>8</v>
      </c>
      <c r="AN16" s="9">
        <v>5</v>
      </c>
      <c r="AO16" s="9">
        <v>3</v>
      </c>
      <c r="AP16" s="62">
        <f t="shared" si="1"/>
        <v>2500</v>
      </c>
    </row>
    <row r="17" spans="1:42" ht="47" customHeight="1">
      <c r="A17" s="9" t="s">
        <v>30</v>
      </c>
      <c r="B17" s="10">
        <v>45913</v>
      </c>
      <c r="C17" s="9" t="s">
        <v>31</v>
      </c>
      <c r="D17" s="9" t="s">
        <v>31</v>
      </c>
      <c r="E17" s="9" t="s">
        <v>31</v>
      </c>
      <c r="F17" s="9" t="s">
        <v>31</v>
      </c>
      <c r="G17" s="9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9" t="s">
        <v>31</v>
      </c>
      <c r="M17" s="9" t="s">
        <v>31</v>
      </c>
      <c r="N17" s="9"/>
      <c r="O17" s="9"/>
      <c r="P17" s="16">
        <v>30000</v>
      </c>
      <c r="Q17" s="16">
        <v>20000</v>
      </c>
      <c r="R17" s="16">
        <v>10000</v>
      </c>
      <c r="S17" s="9"/>
      <c r="T17" s="9"/>
      <c r="U17" s="9"/>
      <c r="V17" s="9"/>
      <c r="W17" s="9"/>
      <c r="X17" s="9"/>
      <c r="Y17" s="9"/>
      <c r="Z17" s="9"/>
      <c r="AA17" s="63">
        <v>30000</v>
      </c>
      <c r="AB17" s="67">
        <v>20000</v>
      </c>
      <c r="AC17" s="64">
        <v>10000</v>
      </c>
      <c r="AD17" s="64"/>
      <c r="AE17" s="67">
        <v>20000</v>
      </c>
      <c r="AF17" s="64">
        <v>10000</v>
      </c>
      <c r="AG17" s="9"/>
      <c r="AH17" s="9"/>
      <c r="AI17" s="9" t="s">
        <v>31</v>
      </c>
      <c r="AJ17" s="9" t="s">
        <v>31</v>
      </c>
      <c r="AK17" s="9"/>
      <c r="AL17" s="25" t="s">
        <v>37</v>
      </c>
      <c r="AM17" s="9">
        <f t="shared" si="0"/>
        <v>11</v>
      </c>
      <c r="AN17" s="9">
        <v>6</v>
      </c>
      <c r="AO17" s="9">
        <v>5</v>
      </c>
      <c r="AP17" s="62">
        <f t="shared" si="1"/>
        <v>2727.2727272727275</v>
      </c>
    </row>
    <row r="18" spans="1:42" ht="47" customHeight="1">
      <c r="A18" s="9" t="s">
        <v>30</v>
      </c>
      <c r="B18" s="10">
        <v>45914</v>
      </c>
      <c r="C18" s="9" t="s">
        <v>31</v>
      </c>
      <c r="D18" s="9" t="s">
        <v>31</v>
      </c>
      <c r="E18" s="9" t="s">
        <v>31</v>
      </c>
      <c r="F18" s="9" t="s">
        <v>31</v>
      </c>
      <c r="G18" s="9" t="s">
        <v>31</v>
      </c>
      <c r="H18" s="9" t="s">
        <v>31</v>
      </c>
      <c r="I18" s="9" t="s">
        <v>31</v>
      </c>
      <c r="J18" s="9" t="s">
        <v>31</v>
      </c>
      <c r="K18" s="9" t="s">
        <v>31</v>
      </c>
      <c r="L18" s="9" t="s">
        <v>31</v>
      </c>
      <c r="M18" s="9" t="s">
        <v>31</v>
      </c>
      <c r="N18" s="9"/>
      <c r="O18" s="9"/>
      <c r="P18" s="16">
        <v>30000</v>
      </c>
      <c r="Q18" s="16">
        <v>20000</v>
      </c>
      <c r="R18" s="16">
        <v>10000</v>
      </c>
      <c r="S18" s="9"/>
      <c r="T18" s="9"/>
      <c r="U18" s="9"/>
      <c r="V18" s="9"/>
      <c r="W18" s="9"/>
      <c r="X18" s="9"/>
      <c r="Y18" s="9"/>
      <c r="Z18" s="9"/>
      <c r="AA18" s="63">
        <v>20000</v>
      </c>
      <c r="AB18" s="64">
        <v>15000</v>
      </c>
      <c r="AC18" s="64">
        <v>5000</v>
      </c>
      <c r="AD18" s="64"/>
      <c r="AE18" s="64">
        <v>15000</v>
      </c>
      <c r="AF18" s="64">
        <v>5000</v>
      </c>
      <c r="AG18" s="9"/>
      <c r="AH18" s="9"/>
      <c r="AI18" s="9" t="s">
        <v>31</v>
      </c>
      <c r="AJ18" s="9" t="s">
        <v>31</v>
      </c>
      <c r="AK18" s="9"/>
      <c r="AL18" s="25" t="s">
        <v>38</v>
      </c>
      <c r="AM18" s="9">
        <f t="shared" si="0"/>
        <v>8</v>
      </c>
      <c r="AN18" s="9">
        <v>5</v>
      </c>
      <c r="AO18" s="9">
        <v>3</v>
      </c>
      <c r="AP18" s="62">
        <f t="shared" si="1"/>
        <v>2500</v>
      </c>
    </row>
    <row r="19" spans="1:42" ht="47" customHeight="1">
      <c r="A19" s="9" t="s">
        <v>30</v>
      </c>
      <c r="B19" s="10">
        <v>45915</v>
      </c>
      <c r="C19" s="9" t="s">
        <v>31</v>
      </c>
      <c r="D19" s="9" t="s">
        <v>31</v>
      </c>
      <c r="E19" s="9"/>
      <c r="F19" s="9"/>
      <c r="G19" s="9" t="s">
        <v>31</v>
      </c>
      <c r="H19" s="9" t="s">
        <v>31</v>
      </c>
      <c r="I19" s="9" t="s">
        <v>31</v>
      </c>
      <c r="J19" s="9" t="s">
        <v>31</v>
      </c>
      <c r="K19" s="9" t="s">
        <v>31</v>
      </c>
      <c r="L19" s="9" t="s">
        <v>31</v>
      </c>
      <c r="M19" s="9" t="s">
        <v>31</v>
      </c>
      <c r="N19" s="9"/>
      <c r="O19" s="9"/>
      <c r="P19" s="16">
        <v>10000</v>
      </c>
      <c r="Q19" s="16">
        <v>10000</v>
      </c>
      <c r="R19" s="16"/>
      <c r="S19" s="9"/>
      <c r="T19" s="9"/>
      <c r="U19" s="9"/>
      <c r="V19" s="9"/>
      <c r="W19" s="9"/>
      <c r="X19" s="9"/>
      <c r="Y19" s="9"/>
      <c r="Z19" s="9"/>
      <c r="AA19" s="63">
        <v>10000</v>
      </c>
      <c r="AB19" s="64">
        <v>10000</v>
      </c>
      <c r="AC19" s="64"/>
      <c r="AD19" s="69"/>
      <c r="AE19" s="64">
        <v>10000</v>
      </c>
      <c r="AF19" s="64"/>
      <c r="AG19" s="9"/>
      <c r="AH19" s="9"/>
      <c r="AI19" s="9" t="s">
        <v>31</v>
      </c>
      <c r="AJ19" s="9" t="s">
        <v>31</v>
      </c>
      <c r="AK19" s="9"/>
      <c r="AL19" s="25" t="s">
        <v>32</v>
      </c>
      <c r="AM19" s="9">
        <f t="shared" si="0"/>
        <v>4</v>
      </c>
      <c r="AN19" s="9">
        <v>4</v>
      </c>
      <c r="AO19" s="9"/>
      <c r="AP19" s="62">
        <f t="shared" si="1"/>
        <v>2500</v>
      </c>
    </row>
    <row r="20" spans="1:42" s="3" customFormat="1" ht="47" customHeight="1">
      <c r="A20" s="11" t="s">
        <v>30</v>
      </c>
      <c r="B20" s="12">
        <v>45916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1"/>
      <c r="O20" s="11"/>
      <c r="P20" s="17"/>
      <c r="Q20" s="17"/>
      <c r="R20" s="17"/>
      <c r="S20" s="9"/>
      <c r="T20" s="9"/>
      <c r="U20" s="11"/>
      <c r="V20" s="11"/>
      <c r="W20" s="11"/>
      <c r="X20" s="11"/>
      <c r="Y20" s="9"/>
      <c r="Z20" s="9"/>
      <c r="AA20" s="65"/>
      <c r="AB20" s="66"/>
      <c r="AC20" s="66"/>
      <c r="AD20" s="70"/>
      <c r="AE20" s="66"/>
      <c r="AF20" s="66"/>
      <c r="AG20" s="9"/>
      <c r="AH20" s="9"/>
      <c r="AI20" s="9"/>
      <c r="AJ20" s="9"/>
      <c r="AK20" s="11"/>
      <c r="AL20" s="26" t="s">
        <v>33</v>
      </c>
      <c r="AM20" s="9">
        <f t="shared" si="0"/>
        <v>0</v>
      </c>
      <c r="AN20" s="11"/>
      <c r="AO20" s="11"/>
      <c r="AP20" s="62" t="e">
        <f t="shared" si="1"/>
        <v>#DIV/0!</v>
      </c>
    </row>
    <row r="21" spans="1:42" ht="47" customHeight="1">
      <c r="A21" s="9" t="s">
        <v>30</v>
      </c>
      <c r="B21" s="10">
        <v>45917</v>
      </c>
      <c r="C21" s="9" t="s">
        <v>31</v>
      </c>
      <c r="D21" s="9" t="s">
        <v>31</v>
      </c>
      <c r="E21" s="9" t="s">
        <v>31</v>
      </c>
      <c r="F21" s="9" t="s">
        <v>31</v>
      </c>
      <c r="G21" s="9" t="s">
        <v>31</v>
      </c>
      <c r="H21" s="9"/>
      <c r="I21" s="9" t="s">
        <v>31</v>
      </c>
      <c r="J21" s="9"/>
      <c r="K21" s="9" t="s">
        <v>31</v>
      </c>
      <c r="L21" s="9"/>
      <c r="M21" s="9" t="s">
        <v>31</v>
      </c>
      <c r="N21" s="9"/>
      <c r="O21" s="9"/>
      <c r="P21" s="16">
        <v>20000</v>
      </c>
      <c r="Q21" s="16">
        <v>15000</v>
      </c>
      <c r="R21" s="16">
        <v>5000</v>
      </c>
      <c r="S21" s="9"/>
      <c r="T21" s="9"/>
      <c r="U21" s="9"/>
      <c r="V21" s="9"/>
      <c r="W21" s="9"/>
      <c r="X21" s="9"/>
      <c r="Y21" s="9"/>
      <c r="Z21" s="9"/>
      <c r="AA21" s="63">
        <v>10000</v>
      </c>
      <c r="AB21" s="64">
        <v>5000</v>
      </c>
      <c r="AC21" s="64">
        <v>5000</v>
      </c>
      <c r="AD21" s="69"/>
      <c r="AE21" s="64">
        <v>5000</v>
      </c>
      <c r="AF21" s="64">
        <v>5000</v>
      </c>
      <c r="AG21" s="9"/>
      <c r="AH21" s="9"/>
      <c r="AI21" s="9"/>
      <c r="AJ21" s="9" t="s">
        <v>31</v>
      </c>
      <c r="AK21" s="9"/>
      <c r="AL21" s="27" t="s">
        <v>34</v>
      </c>
      <c r="AM21" s="9">
        <f t="shared" si="0"/>
        <v>5</v>
      </c>
      <c r="AN21" s="9">
        <v>3</v>
      </c>
      <c r="AO21" s="9">
        <v>2</v>
      </c>
      <c r="AP21" s="62">
        <f t="shared" si="1"/>
        <v>2000</v>
      </c>
    </row>
    <row r="22" spans="1:42" ht="47" customHeight="1">
      <c r="A22" s="9" t="s">
        <v>30</v>
      </c>
      <c r="B22" s="10">
        <v>45918</v>
      </c>
      <c r="C22" s="9" t="s">
        <v>31</v>
      </c>
      <c r="D22" s="9" t="s">
        <v>31</v>
      </c>
      <c r="E22" s="9" t="s">
        <v>31</v>
      </c>
      <c r="F22" s="9" t="s">
        <v>31</v>
      </c>
      <c r="G22" s="9" t="s">
        <v>31</v>
      </c>
      <c r="H22" s="9" t="s">
        <v>31</v>
      </c>
      <c r="I22" s="9" t="s">
        <v>31</v>
      </c>
      <c r="J22" s="9" t="s">
        <v>31</v>
      </c>
      <c r="K22" s="9" t="s">
        <v>31</v>
      </c>
      <c r="L22" s="9" t="s">
        <v>31</v>
      </c>
      <c r="M22" s="9" t="s">
        <v>31</v>
      </c>
      <c r="N22" s="9"/>
      <c r="O22" s="9"/>
      <c r="P22" s="16">
        <v>20000</v>
      </c>
      <c r="Q22" s="16">
        <v>15000</v>
      </c>
      <c r="R22" s="16">
        <v>5000</v>
      </c>
      <c r="S22" s="9"/>
      <c r="T22" s="9"/>
      <c r="U22" s="9"/>
      <c r="V22" s="9"/>
      <c r="W22" s="9"/>
      <c r="X22" s="9"/>
      <c r="Y22" s="9"/>
      <c r="Z22" s="9"/>
      <c r="AA22" s="63">
        <v>10000</v>
      </c>
      <c r="AB22" s="64">
        <v>5000</v>
      </c>
      <c r="AC22" s="64">
        <v>5000</v>
      </c>
      <c r="AD22" s="69"/>
      <c r="AE22" s="64">
        <v>5000</v>
      </c>
      <c r="AF22" s="64">
        <v>5000</v>
      </c>
      <c r="AG22" s="9"/>
      <c r="AH22" s="9"/>
      <c r="AI22" s="9" t="s">
        <v>31</v>
      </c>
      <c r="AJ22" s="9" t="s">
        <v>31</v>
      </c>
      <c r="AK22" s="9"/>
      <c r="AL22" s="25" t="s">
        <v>35</v>
      </c>
      <c r="AM22" s="9">
        <f t="shared" si="0"/>
        <v>5</v>
      </c>
      <c r="AN22" s="9">
        <v>2</v>
      </c>
      <c r="AO22" s="9">
        <v>3</v>
      </c>
      <c r="AP22" s="62">
        <f t="shared" si="1"/>
        <v>2000</v>
      </c>
    </row>
    <row r="23" spans="1:42" ht="47" customHeight="1">
      <c r="A23" s="9" t="s">
        <v>30</v>
      </c>
      <c r="B23" s="10">
        <v>45919</v>
      </c>
      <c r="C23" s="9" t="s">
        <v>31</v>
      </c>
      <c r="D23" s="9" t="s">
        <v>31</v>
      </c>
      <c r="E23" s="9" t="s">
        <v>31</v>
      </c>
      <c r="F23" s="9" t="s">
        <v>31</v>
      </c>
      <c r="G23" s="9" t="s">
        <v>31</v>
      </c>
      <c r="H23" s="9" t="s">
        <v>31</v>
      </c>
      <c r="I23" s="9" t="s">
        <v>31</v>
      </c>
      <c r="J23" s="9" t="s">
        <v>31</v>
      </c>
      <c r="K23" s="9" t="s">
        <v>31</v>
      </c>
      <c r="L23" s="9" t="s">
        <v>31</v>
      </c>
      <c r="M23" s="9" t="s">
        <v>31</v>
      </c>
      <c r="N23" s="9"/>
      <c r="P23" s="16">
        <v>20000</v>
      </c>
      <c r="Q23" s="16">
        <v>10000</v>
      </c>
      <c r="R23" s="16">
        <v>10000</v>
      </c>
      <c r="S23" s="9"/>
      <c r="T23" s="9"/>
      <c r="U23" s="9"/>
      <c r="V23" s="9"/>
      <c r="W23" s="9"/>
      <c r="X23" s="9"/>
      <c r="Y23" s="9"/>
      <c r="Z23" s="9"/>
      <c r="AA23" s="67">
        <v>20000</v>
      </c>
      <c r="AB23" s="64">
        <v>15000</v>
      </c>
      <c r="AC23" s="64">
        <v>5000</v>
      </c>
      <c r="AD23" s="69"/>
      <c r="AE23" s="64">
        <v>15000</v>
      </c>
      <c r="AF23" s="64">
        <v>5000</v>
      </c>
      <c r="AG23" s="9"/>
      <c r="AH23" s="9"/>
      <c r="AI23" s="9" t="s">
        <v>31</v>
      </c>
      <c r="AJ23" s="9" t="s">
        <v>31</v>
      </c>
      <c r="AK23" s="9"/>
      <c r="AL23" s="25" t="s">
        <v>36</v>
      </c>
      <c r="AM23" s="9">
        <f t="shared" si="0"/>
        <v>8</v>
      </c>
      <c r="AN23" s="9">
        <v>5</v>
      </c>
      <c r="AO23" s="9">
        <v>3</v>
      </c>
      <c r="AP23" s="62">
        <f t="shared" si="1"/>
        <v>2500</v>
      </c>
    </row>
    <row r="24" spans="1:42" ht="47" customHeight="1">
      <c r="A24" s="9" t="s">
        <v>30</v>
      </c>
      <c r="B24" s="10">
        <v>45920</v>
      </c>
      <c r="C24" s="9" t="s">
        <v>31</v>
      </c>
      <c r="D24" s="9" t="s">
        <v>31</v>
      </c>
      <c r="E24" s="9" t="s">
        <v>31</v>
      </c>
      <c r="F24" s="9" t="s">
        <v>31</v>
      </c>
      <c r="G24" s="9" t="s">
        <v>31</v>
      </c>
      <c r="H24" s="9" t="s">
        <v>31</v>
      </c>
      <c r="I24" s="9" t="s">
        <v>31</v>
      </c>
      <c r="J24" s="9" t="s">
        <v>31</v>
      </c>
      <c r="K24" s="9" t="s">
        <v>31</v>
      </c>
      <c r="L24" s="9" t="s">
        <v>31</v>
      </c>
      <c r="M24" s="9" t="s">
        <v>31</v>
      </c>
      <c r="N24" s="9"/>
      <c r="O24" s="9"/>
      <c r="P24" s="16">
        <v>40000</v>
      </c>
      <c r="Q24" s="16">
        <v>20000</v>
      </c>
      <c r="R24" s="16">
        <v>20000</v>
      </c>
      <c r="S24" s="9"/>
      <c r="T24" s="9"/>
      <c r="U24" s="9"/>
      <c r="V24" s="9"/>
      <c r="W24" s="9"/>
      <c r="X24" s="9"/>
      <c r="Y24" s="9"/>
      <c r="Z24" s="9"/>
      <c r="AA24" s="63">
        <v>30000</v>
      </c>
      <c r="AB24" s="67">
        <v>20000</v>
      </c>
      <c r="AC24" s="64">
        <v>10000</v>
      </c>
      <c r="AD24" s="69"/>
      <c r="AE24" s="67">
        <v>20000</v>
      </c>
      <c r="AF24" s="64">
        <v>10000</v>
      </c>
      <c r="AG24" s="9"/>
      <c r="AH24" s="9"/>
      <c r="AI24" s="9" t="s">
        <v>31</v>
      </c>
      <c r="AJ24" s="9" t="s">
        <v>31</v>
      </c>
      <c r="AK24" s="9"/>
      <c r="AL24" s="25" t="s">
        <v>37</v>
      </c>
      <c r="AM24" s="9">
        <f t="shared" si="0"/>
        <v>11</v>
      </c>
      <c r="AN24" s="9">
        <v>6</v>
      </c>
      <c r="AO24" s="9">
        <v>5</v>
      </c>
      <c r="AP24" s="62">
        <f t="shared" si="1"/>
        <v>2727.2727272727275</v>
      </c>
    </row>
    <row r="25" spans="1:42" ht="47" customHeight="1">
      <c r="A25" s="9" t="s">
        <v>30</v>
      </c>
      <c r="B25" s="10">
        <v>45921</v>
      </c>
      <c r="C25" s="9" t="s">
        <v>31</v>
      </c>
      <c r="D25" s="9" t="s">
        <v>31</v>
      </c>
      <c r="E25" s="9" t="s">
        <v>31</v>
      </c>
      <c r="F25" s="9" t="s">
        <v>31</v>
      </c>
      <c r="G25" s="9" t="s">
        <v>31</v>
      </c>
      <c r="H25" s="9" t="s">
        <v>31</v>
      </c>
      <c r="I25" s="9" t="s">
        <v>31</v>
      </c>
      <c r="J25" s="9" t="s">
        <v>31</v>
      </c>
      <c r="K25" s="9" t="s">
        <v>31</v>
      </c>
      <c r="L25" s="9" t="s">
        <v>31</v>
      </c>
      <c r="M25" s="9" t="s">
        <v>31</v>
      </c>
      <c r="N25" s="9" t="s">
        <v>10</v>
      </c>
      <c r="O25" s="9"/>
      <c r="P25" s="16">
        <v>112000</v>
      </c>
      <c r="Q25" s="16">
        <v>62000</v>
      </c>
      <c r="R25" s="16">
        <v>50000</v>
      </c>
      <c r="S25" s="9"/>
      <c r="T25" s="9"/>
      <c r="U25" s="9"/>
      <c r="V25" s="9"/>
      <c r="W25" s="9"/>
      <c r="X25" s="9"/>
      <c r="Y25" s="9"/>
      <c r="Z25" s="9"/>
      <c r="AA25" s="63">
        <v>150000</v>
      </c>
      <c r="AB25" s="67">
        <v>120000</v>
      </c>
      <c r="AC25" s="64">
        <v>30000</v>
      </c>
      <c r="AD25" s="69"/>
      <c r="AE25" s="67">
        <v>120000</v>
      </c>
      <c r="AF25" s="64">
        <v>30000</v>
      </c>
      <c r="AG25" s="9"/>
      <c r="AH25" s="9"/>
      <c r="AI25" s="9" t="s">
        <v>31</v>
      </c>
      <c r="AJ25" s="9" t="s">
        <v>31</v>
      </c>
      <c r="AK25" s="9"/>
      <c r="AL25" s="25" t="s">
        <v>38</v>
      </c>
      <c r="AM25" s="9">
        <f t="shared" si="0"/>
        <v>17</v>
      </c>
      <c r="AN25" s="9">
        <v>10</v>
      </c>
      <c r="AO25" s="9">
        <v>7</v>
      </c>
      <c r="AP25" s="62">
        <f t="shared" si="1"/>
        <v>8823.5294117647063</v>
      </c>
    </row>
    <row r="26" spans="1:42" ht="47" customHeight="1">
      <c r="A26" s="9" t="s">
        <v>30</v>
      </c>
      <c r="B26" s="10">
        <v>45922</v>
      </c>
      <c r="C26" s="9" t="s">
        <v>31</v>
      </c>
      <c r="D26" s="9" t="s">
        <v>31</v>
      </c>
      <c r="E26" s="9" t="s">
        <v>31</v>
      </c>
      <c r="F26" s="9" t="s">
        <v>31</v>
      </c>
      <c r="G26" s="9" t="s">
        <v>31</v>
      </c>
      <c r="H26" s="9" t="s">
        <v>31</v>
      </c>
      <c r="I26" s="9" t="s">
        <v>31</v>
      </c>
      <c r="J26" s="9" t="s">
        <v>31</v>
      </c>
      <c r="K26" s="9"/>
      <c r="L26" s="9" t="s">
        <v>31</v>
      </c>
      <c r="M26" s="9" t="s">
        <v>31</v>
      </c>
      <c r="N26" s="9"/>
      <c r="O26" s="9"/>
      <c r="P26" s="16">
        <v>20000</v>
      </c>
      <c r="Q26" s="16">
        <v>10000</v>
      </c>
      <c r="R26" s="16">
        <v>10000</v>
      </c>
      <c r="S26" s="9"/>
      <c r="T26" s="9"/>
      <c r="U26" s="9"/>
      <c r="V26" s="9"/>
      <c r="W26" s="9"/>
      <c r="X26" s="9"/>
      <c r="Y26" s="9"/>
      <c r="Z26" s="9"/>
      <c r="AA26" s="63">
        <v>10000</v>
      </c>
      <c r="AB26" s="64">
        <v>5000</v>
      </c>
      <c r="AC26" s="64">
        <v>5000</v>
      </c>
      <c r="AD26" s="69"/>
      <c r="AE26" s="64">
        <v>5000</v>
      </c>
      <c r="AF26" s="64">
        <v>5000</v>
      </c>
      <c r="AG26" s="9"/>
      <c r="AH26" s="9"/>
      <c r="AI26" s="9" t="s">
        <v>31</v>
      </c>
      <c r="AJ26" s="9"/>
      <c r="AK26" s="9"/>
      <c r="AL26" s="25" t="s">
        <v>32</v>
      </c>
      <c r="AM26" s="9">
        <f t="shared" si="0"/>
        <v>5</v>
      </c>
      <c r="AN26" s="9">
        <v>3</v>
      </c>
      <c r="AO26" s="9">
        <v>2</v>
      </c>
      <c r="AP26" s="62">
        <f t="shared" si="1"/>
        <v>2000</v>
      </c>
    </row>
    <row r="27" spans="1:42" s="3" customFormat="1" ht="47" customHeight="1">
      <c r="A27" s="11" t="s">
        <v>30</v>
      </c>
      <c r="B27" s="12">
        <v>45923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1"/>
      <c r="O27" s="11"/>
      <c r="P27" s="17"/>
      <c r="Q27" s="17"/>
      <c r="R27" s="17"/>
      <c r="S27" s="9"/>
      <c r="T27" s="9"/>
      <c r="U27" s="11"/>
      <c r="V27" s="11"/>
      <c r="W27" s="11"/>
      <c r="X27" s="11"/>
      <c r="Y27" s="9"/>
      <c r="Z27" s="9"/>
      <c r="AA27" s="65"/>
      <c r="AB27" s="66"/>
      <c r="AC27" s="66"/>
      <c r="AD27" s="70"/>
      <c r="AE27" s="66"/>
      <c r="AF27" s="66"/>
      <c r="AG27" s="9"/>
      <c r="AH27" s="9"/>
      <c r="AI27" s="9"/>
      <c r="AJ27" s="9"/>
      <c r="AK27" s="11"/>
      <c r="AL27" s="26" t="s">
        <v>33</v>
      </c>
      <c r="AM27" s="9">
        <f t="shared" si="0"/>
        <v>0</v>
      </c>
      <c r="AN27" s="11"/>
      <c r="AO27" s="11"/>
      <c r="AP27" s="62" t="e">
        <f t="shared" si="1"/>
        <v>#DIV/0!</v>
      </c>
    </row>
    <row r="28" spans="1:42" ht="47" customHeight="1">
      <c r="A28" s="9" t="s">
        <v>30</v>
      </c>
      <c r="B28" s="10">
        <v>45924</v>
      </c>
      <c r="C28" s="9" t="s">
        <v>31</v>
      </c>
      <c r="D28" s="9" t="s">
        <v>31</v>
      </c>
      <c r="E28" s="9" t="s">
        <v>31</v>
      </c>
      <c r="F28" s="9" t="s">
        <v>31</v>
      </c>
      <c r="G28" s="9"/>
      <c r="H28" s="9"/>
      <c r="I28" s="9" t="s">
        <v>31</v>
      </c>
      <c r="J28" s="9" t="s">
        <v>31</v>
      </c>
      <c r="K28" s="9" t="s">
        <v>31</v>
      </c>
      <c r="L28" s="9"/>
      <c r="M28" s="9" t="s">
        <v>31</v>
      </c>
      <c r="N28" s="9"/>
      <c r="O28" s="9"/>
      <c r="P28" s="16">
        <v>20000</v>
      </c>
      <c r="Q28" s="16">
        <v>15000</v>
      </c>
      <c r="R28" s="16">
        <v>5000</v>
      </c>
      <c r="S28" s="9"/>
      <c r="T28" s="9"/>
      <c r="U28" s="9"/>
      <c r="V28" s="9"/>
      <c r="W28" s="9"/>
      <c r="X28" s="9"/>
      <c r="Y28" s="9"/>
      <c r="Z28" s="9"/>
      <c r="AA28" s="63">
        <v>10000</v>
      </c>
      <c r="AB28" s="64">
        <v>5000</v>
      </c>
      <c r="AC28" s="64">
        <v>5000</v>
      </c>
      <c r="AD28" s="69"/>
      <c r="AE28" s="64">
        <v>5000</v>
      </c>
      <c r="AF28" s="64">
        <v>5000</v>
      </c>
      <c r="AG28" s="9"/>
      <c r="AH28" s="9"/>
      <c r="AI28" s="9" t="s">
        <v>31</v>
      </c>
      <c r="AJ28" s="9" t="s">
        <v>31</v>
      </c>
      <c r="AK28" s="9"/>
      <c r="AL28" s="27" t="s">
        <v>34</v>
      </c>
      <c r="AM28" s="9">
        <f t="shared" si="0"/>
        <v>5</v>
      </c>
      <c r="AN28" s="9">
        <v>2</v>
      </c>
      <c r="AO28" s="9">
        <v>3</v>
      </c>
      <c r="AP28" s="62">
        <f t="shared" si="1"/>
        <v>2000</v>
      </c>
    </row>
    <row r="29" spans="1:42" ht="47" customHeight="1">
      <c r="A29" s="9" t="s">
        <v>30</v>
      </c>
      <c r="B29" s="10">
        <v>45925</v>
      </c>
      <c r="C29" s="9" t="s">
        <v>31</v>
      </c>
      <c r="D29" s="9" t="s">
        <v>31</v>
      </c>
      <c r="E29" s="9" t="s">
        <v>31</v>
      </c>
      <c r="F29" s="9" t="s">
        <v>31</v>
      </c>
      <c r="G29" s="9"/>
      <c r="H29" s="9" t="s">
        <v>31</v>
      </c>
      <c r="I29" s="9" t="s">
        <v>31</v>
      </c>
      <c r="J29" s="9" t="s">
        <v>31</v>
      </c>
      <c r="K29" s="9" t="s">
        <v>31</v>
      </c>
      <c r="L29" s="9" t="s">
        <v>31</v>
      </c>
      <c r="M29" s="9" t="s">
        <v>31</v>
      </c>
      <c r="N29" s="9"/>
      <c r="O29" s="9"/>
      <c r="P29" s="16">
        <v>20000</v>
      </c>
      <c r="Q29" s="16">
        <v>10000</v>
      </c>
      <c r="R29" s="16">
        <v>10000</v>
      </c>
      <c r="S29" s="9"/>
      <c r="T29" s="9"/>
      <c r="U29" s="9"/>
      <c r="V29" s="9"/>
      <c r="W29" s="9"/>
      <c r="X29" s="9"/>
      <c r="Y29" s="9"/>
      <c r="Z29" s="9"/>
      <c r="AA29" s="63">
        <v>10000</v>
      </c>
      <c r="AB29" s="64">
        <v>5000</v>
      </c>
      <c r="AC29" s="64">
        <v>5000</v>
      </c>
      <c r="AD29" s="69"/>
      <c r="AE29" s="64">
        <v>5000</v>
      </c>
      <c r="AF29" s="64">
        <v>5000</v>
      </c>
      <c r="AG29" s="9"/>
      <c r="AH29" s="9"/>
      <c r="AI29" s="9" t="s">
        <v>31</v>
      </c>
      <c r="AJ29" s="9" t="s">
        <v>31</v>
      </c>
      <c r="AK29" s="9"/>
      <c r="AL29" s="25" t="s">
        <v>35</v>
      </c>
      <c r="AM29" s="9">
        <f t="shared" si="0"/>
        <v>5</v>
      </c>
      <c r="AN29" s="9">
        <v>3</v>
      </c>
      <c r="AO29" s="9">
        <v>2</v>
      </c>
      <c r="AP29" s="62">
        <f t="shared" si="1"/>
        <v>2000</v>
      </c>
    </row>
    <row r="30" spans="1:42" ht="47" customHeight="1">
      <c r="A30" s="9" t="s">
        <v>30</v>
      </c>
      <c r="B30" s="10">
        <v>45926</v>
      </c>
      <c r="C30" s="9" t="s">
        <v>31</v>
      </c>
      <c r="D30" s="9" t="s">
        <v>31</v>
      </c>
      <c r="E30" s="9" t="s">
        <v>31</v>
      </c>
      <c r="F30" s="9" t="s">
        <v>31</v>
      </c>
      <c r="G30" s="9"/>
      <c r="H30" s="9" t="s">
        <v>31</v>
      </c>
      <c r="I30" s="9" t="s">
        <v>31</v>
      </c>
      <c r="J30" s="9" t="s">
        <v>31</v>
      </c>
      <c r="K30" s="9" t="s">
        <v>31</v>
      </c>
      <c r="L30" s="9" t="s">
        <v>31</v>
      </c>
      <c r="M30" s="9" t="s">
        <v>31</v>
      </c>
      <c r="N30" s="9"/>
      <c r="O30" s="9"/>
      <c r="P30" s="16">
        <v>30000</v>
      </c>
      <c r="Q30" s="16">
        <v>20000</v>
      </c>
      <c r="R30" s="16">
        <v>10000</v>
      </c>
      <c r="S30" s="9"/>
      <c r="T30" s="9"/>
      <c r="U30" s="9"/>
      <c r="V30" s="9"/>
      <c r="W30" s="9"/>
      <c r="X30" s="9"/>
      <c r="Y30" s="9"/>
      <c r="Z30" s="9"/>
      <c r="AA30" s="67">
        <v>20000</v>
      </c>
      <c r="AB30" s="64">
        <v>15000</v>
      </c>
      <c r="AC30" s="64">
        <v>5000</v>
      </c>
      <c r="AD30" s="69"/>
      <c r="AE30" s="64">
        <v>15000</v>
      </c>
      <c r="AF30" s="64">
        <v>5000</v>
      </c>
      <c r="AG30" s="9"/>
      <c r="AH30" s="9"/>
      <c r="AI30" s="9" t="s">
        <v>31</v>
      </c>
      <c r="AJ30" s="9" t="s">
        <v>31</v>
      </c>
      <c r="AK30" s="9"/>
      <c r="AL30" s="25" t="s">
        <v>36</v>
      </c>
      <c r="AM30" s="9">
        <f t="shared" si="0"/>
        <v>8</v>
      </c>
      <c r="AN30" s="9">
        <v>5</v>
      </c>
      <c r="AO30" s="9">
        <v>3</v>
      </c>
      <c r="AP30" s="62">
        <f t="shared" si="1"/>
        <v>2500</v>
      </c>
    </row>
    <row r="31" spans="1:42" ht="47" customHeight="1">
      <c r="A31" s="9" t="s">
        <v>30</v>
      </c>
      <c r="B31" s="10">
        <v>45927</v>
      </c>
      <c r="C31" s="9" t="s">
        <v>31</v>
      </c>
      <c r="D31" s="9" t="s">
        <v>31</v>
      </c>
      <c r="E31" s="9" t="s">
        <v>31</v>
      </c>
      <c r="F31" s="9" t="s">
        <v>31</v>
      </c>
      <c r="G31" s="9"/>
      <c r="H31" s="9" t="s">
        <v>31</v>
      </c>
      <c r="I31" s="9" t="s">
        <v>31</v>
      </c>
      <c r="J31" s="9" t="s">
        <v>31</v>
      </c>
      <c r="K31" s="9" t="s">
        <v>31</v>
      </c>
      <c r="L31" s="9" t="s">
        <v>31</v>
      </c>
      <c r="M31" s="9" t="s">
        <v>31</v>
      </c>
      <c r="N31" s="9"/>
      <c r="O31" s="9"/>
      <c r="P31" s="16">
        <v>30000</v>
      </c>
      <c r="Q31" s="16">
        <v>20000</v>
      </c>
      <c r="R31" s="16">
        <v>10000</v>
      </c>
      <c r="S31" s="9"/>
      <c r="T31" s="9"/>
      <c r="U31" s="9"/>
      <c r="V31" s="9"/>
      <c r="W31" s="9"/>
      <c r="X31" s="9"/>
      <c r="Y31" s="9"/>
      <c r="Z31" s="9"/>
      <c r="AA31" s="63">
        <v>10000</v>
      </c>
      <c r="AB31" s="64">
        <v>5000</v>
      </c>
      <c r="AC31" s="64">
        <v>5000</v>
      </c>
      <c r="AD31" s="69"/>
      <c r="AE31" s="64">
        <v>5000</v>
      </c>
      <c r="AF31" s="64">
        <v>5000</v>
      </c>
      <c r="AG31" s="9"/>
      <c r="AH31" s="9"/>
      <c r="AI31" s="9" t="s">
        <v>31</v>
      </c>
      <c r="AJ31" s="9" t="s">
        <v>31</v>
      </c>
      <c r="AK31" s="9"/>
      <c r="AL31" s="25" t="s">
        <v>37</v>
      </c>
      <c r="AM31" s="9">
        <f t="shared" si="0"/>
        <v>5</v>
      </c>
      <c r="AN31" s="9">
        <v>2</v>
      </c>
      <c r="AO31" s="9">
        <v>3</v>
      </c>
      <c r="AP31" s="62">
        <f t="shared" si="1"/>
        <v>2000</v>
      </c>
    </row>
    <row r="32" spans="1:42" ht="47" customHeight="1">
      <c r="A32" s="9" t="s">
        <v>30</v>
      </c>
      <c r="B32" s="10">
        <v>45928</v>
      </c>
      <c r="C32" s="9" t="s">
        <v>31</v>
      </c>
      <c r="D32" s="9" t="s">
        <v>31</v>
      </c>
      <c r="E32" s="9" t="s">
        <v>31</v>
      </c>
      <c r="F32" s="9" t="s">
        <v>31</v>
      </c>
      <c r="G32" s="9"/>
      <c r="H32" s="9" t="s">
        <v>31</v>
      </c>
      <c r="I32" s="9" t="s">
        <v>31</v>
      </c>
      <c r="J32" s="9" t="s">
        <v>31</v>
      </c>
      <c r="K32" s="9" t="s">
        <v>31</v>
      </c>
      <c r="L32" s="9" t="s">
        <v>31</v>
      </c>
      <c r="M32" s="9" t="s">
        <v>31</v>
      </c>
      <c r="N32" s="9"/>
      <c r="O32" s="9"/>
      <c r="P32" s="16">
        <v>20000</v>
      </c>
      <c r="Q32" s="16">
        <v>10000</v>
      </c>
      <c r="R32" s="16">
        <v>10000</v>
      </c>
      <c r="S32" s="9"/>
      <c r="T32" s="9"/>
      <c r="U32" s="9"/>
      <c r="V32" s="9"/>
      <c r="W32" s="9"/>
      <c r="X32" s="9"/>
      <c r="Y32" s="9"/>
      <c r="Z32" s="9"/>
      <c r="AA32" s="63">
        <v>20000</v>
      </c>
      <c r="AB32" s="64">
        <v>15000</v>
      </c>
      <c r="AC32" s="64">
        <v>5000</v>
      </c>
      <c r="AD32" s="69"/>
      <c r="AE32" s="64">
        <v>15000</v>
      </c>
      <c r="AF32" s="64">
        <v>5000</v>
      </c>
      <c r="AG32" s="9"/>
      <c r="AH32" s="9"/>
      <c r="AI32" s="9" t="s">
        <v>31</v>
      </c>
      <c r="AJ32" s="9" t="s">
        <v>31</v>
      </c>
      <c r="AK32" s="9"/>
      <c r="AL32" s="25" t="s">
        <v>38</v>
      </c>
      <c r="AM32" s="9">
        <f t="shared" si="0"/>
        <v>8</v>
      </c>
      <c r="AN32" s="9">
        <v>5</v>
      </c>
      <c r="AO32" s="9">
        <v>3</v>
      </c>
      <c r="AP32" s="62">
        <f t="shared" si="1"/>
        <v>2500</v>
      </c>
    </row>
    <row r="33" spans="1:42" ht="47" customHeight="1">
      <c r="A33" s="9" t="s">
        <v>30</v>
      </c>
      <c r="B33" s="10">
        <v>45929</v>
      </c>
      <c r="C33" s="9" t="s">
        <v>31</v>
      </c>
      <c r="D33" s="9"/>
      <c r="E33" s="9" t="s">
        <v>31</v>
      </c>
      <c r="F33" s="9" t="s">
        <v>31</v>
      </c>
      <c r="G33" s="9"/>
      <c r="H33" s="9" t="s">
        <v>31</v>
      </c>
      <c r="I33" s="9" t="s">
        <v>31</v>
      </c>
      <c r="J33" s="9" t="s">
        <v>31</v>
      </c>
      <c r="K33" s="9" t="s">
        <v>31</v>
      </c>
      <c r="L33" s="9" t="s">
        <v>31</v>
      </c>
      <c r="M33" s="9"/>
      <c r="N33" s="9"/>
      <c r="O33" s="9"/>
      <c r="P33" s="16">
        <v>10000</v>
      </c>
      <c r="Q33" s="16"/>
      <c r="R33" s="16">
        <v>10000</v>
      </c>
      <c r="S33" s="9"/>
      <c r="T33" s="9"/>
      <c r="U33" s="9"/>
      <c r="V33" s="9"/>
      <c r="W33" s="9"/>
      <c r="X33" s="9"/>
      <c r="Y33" s="9"/>
      <c r="Z33" s="9"/>
      <c r="AA33" s="63">
        <v>10000</v>
      </c>
      <c r="AB33" s="64"/>
      <c r="AC33" s="64">
        <v>10000</v>
      </c>
      <c r="AD33" s="69"/>
      <c r="AE33" s="64"/>
      <c r="AF33" s="64">
        <v>10000</v>
      </c>
      <c r="AG33" s="9"/>
      <c r="AH33" s="9"/>
      <c r="AI33" s="9" t="s">
        <v>31</v>
      </c>
      <c r="AJ33" s="9" t="s">
        <v>31</v>
      </c>
      <c r="AK33" s="9"/>
      <c r="AL33" s="25" t="s">
        <v>32</v>
      </c>
      <c r="AM33" s="9">
        <f t="shared" si="0"/>
        <v>4</v>
      </c>
      <c r="AN33" s="9"/>
      <c r="AO33" s="9">
        <v>4</v>
      </c>
      <c r="AP33" s="62">
        <f t="shared" si="1"/>
        <v>2500</v>
      </c>
    </row>
    <row r="34" spans="1:42" s="3" customFormat="1" ht="47" customHeight="1">
      <c r="A34" s="11" t="s">
        <v>30</v>
      </c>
      <c r="B34" s="12">
        <v>45930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1"/>
      <c r="O34" s="11"/>
      <c r="P34" s="17"/>
      <c r="Q34" s="17"/>
      <c r="R34" s="17"/>
      <c r="S34" s="11"/>
      <c r="T34" s="11"/>
      <c r="U34" s="11"/>
      <c r="V34" s="11"/>
      <c r="W34" s="11"/>
      <c r="X34" s="11"/>
      <c r="Y34" s="11"/>
      <c r="Z34" s="11"/>
      <c r="AA34" s="65"/>
      <c r="AB34" s="66"/>
      <c r="AC34" s="66"/>
      <c r="AD34" s="70"/>
      <c r="AE34" s="66"/>
      <c r="AF34" s="66"/>
      <c r="AG34" s="11"/>
      <c r="AH34" s="11"/>
      <c r="AI34" s="11"/>
      <c r="AJ34" s="11"/>
      <c r="AK34" s="11"/>
      <c r="AL34" s="26" t="s">
        <v>33</v>
      </c>
      <c r="AM34" s="9">
        <f t="shared" si="0"/>
        <v>0</v>
      </c>
      <c r="AN34" s="11"/>
      <c r="AO34" s="11"/>
      <c r="AP34" s="62" t="e">
        <f t="shared" si="1"/>
        <v>#DIV/0!</v>
      </c>
    </row>
    <row r="35" spans="1:42" ht="47" customHeight="1">
      <c r="A35" s="9" t="s">
        <v>30</v>
      </c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6"/>
      <c r="Q35" s="16"/>
      <c r="R35" s="16"/>
      <c r="S35" s="9"/>
      <c r="T35" s="9"/>
      <c r="U35" s="9"/>
      <c r="V35" s="9"/>
      <c r="W35" s="9"/>
      <c r="X35" s="9"/>
      <c r="Y35" s="9"/>
      <c r="Z35" s="9"/>
      <c r="AA35" s="63"/>
      <c r="AB35" s="64"/>
      <c r="AC35" s="64"/>
      <c r="AD35" s="69"/>
      <c r="AE35" s="64"/>
      <c r="AF35" s="64"/>
      <c r="AG35" s="9"/>
      <c r="AH35" s="9"/>
      <c r="AI35" s="9"/>
      <c r="AJ35" s="9"/>
      <c r="AK35" s="9"/>
      <c r="AL35" s="25"/>
      <c r="AM35" s="9">
        <f t="shared" si="0"/>
        <v>0</v>
      </c>
      <c r="AN35" s="9"/>
      <c r="AO35" s="9"/>
      <c r="AP35" s="62" t="e">
        <f t="shared" si="1"/>
        <v>#DIV/0!</v>
      </c>
    </row>
    <row r="36" spans="1:42">
      <c r="A36" s="4" t="s">
        <v>39</v>
      </c>
      <c r="P36" s="4">
        <f>SUM(P5:P35)</f>
        <v>612000</v>
      </c>
      <c r="Q36" s="4">
        <f t="shared" ref="Q36:R36" si="2">SUM(Q5:Q35)</f>
        <v>362000</v>
      </c>
      <c r="R36" s="4">
        <f t="shared" si="2"/>
        <v>250000</v>
      </c>
      <c r="S36" s="4">
        <f t="shared" ref="S36:AH36" si="3">SUM(S5:S35)</f>
        <v>0</v>
      </c>
      <c r="T36" s="4">
        <f t="shared" si="3"/>
        <v>0</v>
      </c>
      <c r="U36" s="4">
        <f t="shared" si="3"/>
        <v>0</v>
      </c>
      <c r="V36" s="4">
        <f t="shared" si="3"/>
        <v>0</v>
      </c>
      <c r="W36" s="4">
        <f t="shared" si="3"/>
        <v>0</v>
      </c>
      <c r="X36" s="4">
        <f t="shared" si="3"/>
        <v>0</v>
      </c>
      <c r="Y36" s="4">
        <f t="shared" si="3"/>
        <v>0</v>
      </c>
      <c r="Z36" s="4">
        <f t="shared" si="3"/>
        <v>0</v>
      </c>
      <c r="AA36" s="62">
        <f t="shared" si="3"/>
        <v>510000</v>
      </c>
      <c r="AB36" s="62">
        <f t="shared" si="3"/>
        <v>350000</v>
      </c>
      <c r="AC36" s="62">
        <f t="shared" si="3"/>
        <v>160000</v>
      </c>
      <c r="AD36" s="62">
        <f t="shared" si="3"/>
        <v>0</v>
      </c>
      <c r="AE36" s="62">
        <f t="shared" si="3"/>
        <v>350000</v>
      </c>
      <c r="AF36" s="62">
        <f t="shared" si="3"/>
        <v>160000</v>
      </c>
      <c r="AG36" s="4">
        <f t="shared" si="3"/>
        <v>0</v>
      </c>
      <c r="AH36" s="4">
        <f t="shared" si="3"/>
        <v>0</v>
      </c>
      <c r="AL36" s="5" t="s">
        <v>40</v>
      </c>
      <c r="AM36" s="71">
        <f>AN36+AO36</f>
        <v>170</v>
      </c>
      <c r="AN36" s="62">
        <f t="shared" ref="AN36:AO36" si="4">SUM(AN5:AN35)</f>
        <v>96</v>
      </c>
      <c r="AO36" s="62">
        <f t="shared" si="4"/>
        <v>74</v>
      </c>
      <c r="AP36" s="62">
        <f t="shared" si="1"/>
        <v>3000</v>
      </c>
    </row>
    <row r="37" spans="1:42">
      <c r="AL37" s="5" t="s">
        <v>41</v>
      </c>
      <c r="AP37" s="62" t="e">
        <f t="shared" si="1"/>
        <v>#DIV/0!</v>
      </c>
    </row>
    <row r="38" spans="1:42">
      <c r="AL38" s="5" t="s">
        <v>42</v>
      </c>
      <c r="AP38" s="62" t="e">
        <f t="shared" si="1"/>
        <v>#DIV/0!</v>
      </c>
    </row>
    <row r="41" spans="1:42">
      <c r="AL41" s="28"/>
    </row>
    <row r="42" spans="1:42">
      <c r="AL42" s="28"/>
    </row>
    <row r="43" spans="1:42">
      <c r="AL43" s="28"/>
    </row>
    <row r="47" spans="1:42">
      <c r="AL47" s="29" t="s">
        <v>43</v>
      </c>
    </row>
    <row r="48" spans="1:42">
      <c r="AL48" s="29" t="s">
        <v>44</v>
      </c>
    </row>
    <row r="49" spans="38:38">
      <c r="AL49" s="29" t="s">
        <v>45</v>
      </c>
    </row>
    <row r="50" spans="38:38">
      <c r="AL50" s="29" t="s">
        <v>46</v>
      </c>
    </row>
    <row r="51" spans="38:38">
      <c r="AL51" s="5" t="s">
        <v>47</v>
      </c>
    </row>
    <row r="52" spans="38:38">
      <c r="AL52" s="30" t="s">
        <v>48</v>
      </c>
    </row>
    <row r="54" spans="38:38">
      <c r="AL54" s="29" t="s">
        <v>43</v>
      </c>
    </row>
    <row r="55" spans="38:38">
      <c r="AL55" s="29" t="s">
        <v>44</v>
      </c>
    </row>
    <row r="56" spans="38:38">
      <c r="AL56" s="29" t="s">
        <v>45</v>
      </c>
    </row>
    <row r="57" spans="38:38">
      <c r="AL57" s="29" t="s">
        <v>46</v>
      </c>
    </row>
    <row r="58" spans="38:38">
      <c r="AL58" s="5" t="s">
        <v>47</v>
      </c>
    </row>
    <row r="59" spans="38:38">
      <c r="AL59" s="30" t="s">
        <v>48</v>
      </c>
    </row>
    <row r="61" spans="38:38">
      <c r="AL61" s="5" t="s">
        <v>49</v>
      </c>
    </row>
    <row r="62" spans="38:38">
      <c r="AL62" s="5" t="s">
        <v>50</v>
      </c>
    </row>
    <row r="63" spans="38:38">
      <c r="AL63" s="5" t="s">
        <v>51</v>
      </c>
    </row>
    <row r="64" spans="38:38">
      <c r="AL64" s="5" t="s">
        <v>52</v>
      </c>
    </row>
    <row r="65" spans="38:38">
      <c r="AL65" s="30" t="s">
        <v>48</v>
      </c>
    </row>
    <row r="66" spans="38:38">
      <c r="AL66" s="5" t="s">
        <v>53</v>
      </c>
    </row>
    <row r="69" spans="38:38">
      <c r="AL69" s="29" t="s">
        <v>43</v>
      </c>
    </row>
    <row r="70" spans="38:38">
      <c r="AL70" s="29" t="s">
        <v>44</v>
      </c>
    </row>
    <row r="71" spans="38:38">
      <c r="AL71" s="29" t="s">
        <v>45</v>
      </c>
    </row>
    <row r="72" spans="38:38">
      <c r="AL72" s="29" t="s">
        <v>46</v>
      </c>
    </row>
    <row r="73" spans="38:38">
      <c r="AL73" s="5" t="s">
        <v>47</v>
      </c>
    </row>
    <row r="74" spans="38:38">
      <c r="AL74" s="30" t="s">
        <v>48</v>
      </c>
    </row>
    <row r="76" spans="38:38">
      <c r="AL76" s="29" t="s">
        <v>43</v>
      </c>
    </row>
    <row r="77" spans="38:38">
      <c r="AL77" s="29" t="s">
        <v>44</v>
      </c>
    </row>
    <row r="78" spans="38:38">
      <c r="AL78" s="29" t="s">
        <v>45</v>
      </c>
    </row>
    <row r="79" spans="38:38">
      <c r="AL79" s="29" t="s">
        <v>46</v>
      </c>
    </row>
    <row r="80" spans="38:38">
      <c r="AL80" s="5" t="s">
        <v>47</v>
      </c>
    </row>
    <row r="81" spans="38:38">
      <c r="AL81" s="30" t="s">
        <v>48</v>
      </c>
    </row>
    <row r="83" spans="38:38">
      <c r="AL83" s="5" t="s">
        <v>49</v>
      </c>
    </row>
    <row r="84" spans="38:38">
      <c r="AL84" s="5" t="s">
        <v>50</v>
      </c>
    </row>
    <row r="85" spans="38:38">
      <c r="AL85" s="5" t="s">
        <v>51</v>
      </c>
    </row>
    <row r="86" spans="38:38">
      <c r="AL86" s="5" t="s">
        <v>52</v>
      </c>
    </row>
    <row r="87" spans="38:38">
      <c r="AL87" s="30" t="s">
        <v>48</v>
      </c>
    </row>
    <row r="88" spans="38:38">
      <c r="AL88" s="5" t="s">
        <v>53</v>
      </c>
    </row>
    <row r="91" spans="38:38">
      <c r="AL91" s="29" t="s">
        <v>43</v>
      </c>
    </row>
    <row r="92" spans="38:38">
      <c r="AL92" s="29" t="s">
        <v>44</v>
      </c>
    </row>
    <row r="93" spans="38:38">
      <c r="AL93" s="29" t="s">
        <v>45</v>
      </c>
    </row>
    <row r="94" spans="38:38">
      <c r="AL94" s="29" t="s">
        <v>46</v>
      </c>
    </row>
    <row r="95" spans="38:38">
      <c r="AL95" s="5" t="s">
        <v>47</v>
      </c>
    </row>
    <row r="96" spans="38:38">
      <c r="AL96" s="30" t="s">
        <v>48</v>
      </c>
    </row>
    <row r="98" spans="38:38">
      <c r="AL98" s="29" t="s">
        <v>43</v>
      </c>
    </row>
    <row r="99" spans="38:38">
      <c r="AL99" s="29" t="s">
        <v>44</v>
      </c>
    </row>
    <row r="100" spans="38:38">
      <c r="AL100" s="29" t="s">
        <v>45</v>
      </c>
    </row>
    <row r="101" spans="38:38">
      <c r="AL101" s="29" t="s">
        <v>46</v>
      </c>
    </row>
    <row r="102" spans="38:38">
      <c r="AL102" s="5" t="s">
        <v>47</v>
      </c>
    </row>
    <row r="103" spans="38:38">
      <c r="AL103" s="30" t="s">
        <v>48</v>
      </c>
    </row>
    <row r="105" spans="38:38">
      <c r="AL105" s="5" t="s">
        <v>49</v>
      </c>
    </row>
    <row r="106" spans="38:38">
      <c r="AL106" s="5" t="s">
        <v>50</v>
      </c>
    </row>
    <row r="107" spans="38:38">
      <c r="AL107" s="5" t="s">
        <v>51</v>
      </c>
    </row>
    <row r="108" spans="38:38">
      <c r="AL108" s="5" t="s">
        <v>52</v>
      </c>
    </row>
    <row r="109" spans="38:38">
      <c r="AL109" s="30" t="s">
        <v>48</v>
      </c>
    </row>
    <row r="110" spans="38:38">
      <c r="AL110" s="5" t="s">
        <v>53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AM3:AO3"/>
    <mergeCell ref="A2:A4"/>
    <mergeCell ref="B2:B4"/>
    <mergeCell ref="C3:C4"/>
    <mergeCell ref="N3:N4"/>
    <mergeCell ref="O3:O4"/>
    <mergeCell ref="C2:O2"/>
    <mergeCell ref="P2:AC2"/>
    <mergeCell ref="AD2:AK2"/>
    <mergeCell ref="D3:E3"/>
    <mergeCell ref="F3:H3"/>
    <mergeCell ref="I3:K3"/>
    <mergeCell ref="L3:M3"/>
    <mergeCell ref="Q3:T3"/>
    <mergeCell ref="U3:Z3"/>
    <mergeCell ref="AA3:AC3"/>
    <mergeCell ref="AE3:AH3"/>
    <mergeCell ref="AI3:AK3"/>
    <mergeCell ref="P3:P4"/>
  </mergeCells>
  <phoneticPr fontId="15" type="noConversion"/>
  <pageMargins left="0.75" right="0.75" top="1" bottom="1" header="0.5" footer="0.5"/>
  <headerFooter>
    <oddFooter>&amp;C
&amp;1#&amp;"arial"&amp;9&amp;K008000 C1 -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AL44"/>
  <sheetViews>
    <sheetView workbookViewId="0">
      <selection activeCell="D14" sqref="D14:D44"/>
    </sheetView>
  </sheetViews>
  <sheetFormatPr defaultColWidth="9.90625" defaultRowHeight="14"/>
  <sheetData>
    <row r="8" spans="1:38">
      <c r="H8" s="1" t="s">
        <v>54</v>
      </c>
      <c r="I8" s="1" t="s">
        <v>55</v>
      </c>
      <c r="J8" s="2" t="s">
        <v>56</v>
      </c>
      <c r="K8" s="2" t="s">
        <v>56</v>
      </c>
      <c r="L8" s="2" t="s">
        <v>56</v>
      </c>
      <c r="M8" s="2" t="s">
        <v>56</v>
      </c>
      <c r="N8" s="2" t="s">
        <v>56</v>
      </c>
      <c r="O8" s="1" t="s">
        <v>54</v>
      </c>
      <c r="P8" s="2" t="s">
        <v>56</v>
      </c>
      <c r="Q8" s="1" t="s">
        <v>55</v>
      </c>
      <c r="R8" s="2" t="s">
        <v>56</v>
      </c>
      <c r="S8" s="2" t="s">
        <v>56</v>
      </c>
      <c r="T8" s="2" t="s">
        <v>56</v>
      </c>
      <c r="U8" s="2" t="s">
        <v>56</v>
      </c>
      <c r="V8" s="1" t="s">
        <v>54</v>
      </c>
      <c r="W8" s="2" t="s">
        <v>56</v>
      </c>
      <c r="X8" s="2" t="s">
        <v>56</v>
      </c>
      <c r="Y8" s="2" t="s">
        <v>56</v>
      </c>
      <c r="Z8" s="2" t="s">
        <v>56</v>
      </c>
      <c r="AA8" s="2" t="s">
        <v>56</v>
      </c>
      <c r="AB8" s="2" t="s">
        <v>56</v>
      </c>
      <c r="AC8" s="1" t="s">
        <v>54</v>
      </c>
      <c r="AD8" s="1" t="s">
        <v>55</v>
      </c>
      <c r="AE8" s="2" t="s">
        <v>56</v>
      </c>
      <c r="AF8" s="2" t="s">
        <v>56</v>
      </c>
      <c r="AG8" s="2" t="s">
        <v>56</v>
      </c>
      <c r="AH8" s="2" t="s">
        <v>56</v>
      </c>
      <c r="AI8" s="2" t="s">
        <v>56</v>
      </c>
      <c r="AJ8" s="1" t="s">
        <v>54</v>
      </c>
      <c r="AK8" s="2" t="s">
        <v>56</v>
      </c>
      <c r="AL8" s="2" t="s">
        <v>56</v>
      </c>
    </row>
    <row r="10" spans="1:38">
      <c r="A10" s="1" t="s">
        <v>54</v>
      </c>
      <c r="B10" s="1" t="s">
        <v>55</v>
      </c>
      <c r="C10" s="2" t="s">
        <v>56</v>
      </c>
      <c r="D10" s="2" t="s">
        <v>56</v>
      </c>
      <c r="E10" s="2" t="s">
        <v>56</v>
      </c>
      <c r="F10" s="2" t="s">
        <v>56</v>
      </c>
      <c r="G10" s="2" t="s">
        <v>56</v>
      </c>
      <c r="H10" s="1" t="s">
        <v>54</v>
      </c>
      <c r="I10" s="2" t="s">
        <v>56</v>
      </c>
      <c r="J10" s="1" t="s">
        <v>55</v>
      </c>
      <c r="K10" s="2" t="s">
        <v>56</v>
      </c>
      <c r="L10" s="2" t="s">
        <v>56</v>
      </c>
      <c r="M10" s="2" t="s">
        <v>56</v>
      </c>
      <c r="N10" s="2" t="s">
        <v>56</v>
      </c>
      <c r="O10" s="1" t="s">
        <v>54</v>
      </c>
      <c r="P10" s="2" t="s">
        <v>56</v>
      </c>
      <c r="Q10" s="2" t="s">
        <v>56</v>
      </c>
      <c r="R10" s="2" t="s">
        <v>56</v>
      </c>
      <c r="S10" s="2" t="s">
        <v>56</v>
      </c>
      <c r="T10" s="2" t="s">
        <v>56</v>
      </c>
      <c r="U10" s="2" t="s">
        <v>56</v>
      </c>
      <c r="V10" s="1" t="s">
        <v>54</v>
      </c>
      <c r="W10" s="1" t="s">
        <v>55</v>
      </c>
      <c r="X10" s="2" t="s">
        <v>56</v>
      </c>
      <c r="Y10" s="2" t="s">
        <v>56</v>
      </c>
      <c r="Z10" s="2" t="s">
        <v>56</v>
      </c>
      <c r="AA10" s="2" t="s">
        <v>56</v>
      </c>
      <c r="AB10" s="2" t="s">
        <v>56</v>
      </c>
      <c r="AC10" s="1" t="s">
        <v>54</v>
      </c>
      <c r="AD10" s="2" t="s">
        <v>56</v>
      </c>
      <c r="AE10" s="2" t="s">
        <v>56</v>
      </c>
    </row>
    <row r="11" spans="1:38">
      <c r="A11" s="1" t="s">
        <v>54</v>
      </c>
    </row>
    <row r="12" spans="1:38">
      <c r="A12" s="1" t="s">
        <v>55</v>
      </c>
    </row>
    <row r="13" spans="1:38">
      <c r="A13" s="2" t="s">
        <v>56</v>
      </c>
    </row>
    <row r="14" spans="1:38">
      <c r="A14" s="2" t="s">
        <v>56</v>
      </c>
      <c r="D14" s="1" t="s">
        <v>54</v>
      </c>
    </row>
    <row r="15" spans="1:38">
      <c r="A15" s="2" t="s">
        <v>56</v>
      </c>
      <c r="D15" s="2" t="s">
        <v>56</v>
      </c>
    </row>
    <row r="16" spans="1:38">
      <c r="A16" s="2" t="s">
        <v>56</v>
      </c>
      <c r="D16" s="2" t="s">
        <v>56</v>
      </c>
    </row>
    <row r="17" spans="1:4">
      <c r="A17" s="2" t="s">
        <v>56</v>
      </c>
      <c r="D17" s="2" t="s">
        <v>56</v>
      </c>
    </row>
    <row r="18" spans="1:4">
      <c r="A18" s="1" t="s">
        <v>54</v>
      </c>
      <c r="D18" s="2" t="s">
        <v>56</v>
      </c>
    </row>
    <row r="19" spans="1:4">
      <c r="A19" s="2" t="s">
        <v>56</v>
      </c>
      <c r="D19" s="2" t="s">
        <v>56</v>
      </c>
    </row>
    <row r="20" spans="1:4">
      <c r="A20" s="1" t="s">
        <v>55</v>
      </c>
      <c r="D20" s="1" t="s">
        <v>57</v>
      </c>
    </row>
    <row r="21" spans="1:4">
      <c r="A21" s="2" t="s">
        <v>56</v>
      </c>
      <c r="D21" s="1" t="s">
        <v>54</v>
      </c>
    </row>
    <row r="22" spans="1:4">
      <c r="A22" s="2" t="s">
        <v>56</v>
      </c>
      <c r="D22" s="1" t="s">
        <v>55</v>
      </c>
    </row>
    <row r="23" spans="1:4">
      <c r="A23" s="2" t="s">
        <v>56</v>
      </c>
      <c r="D23" s="2" t="s">
        <v>56</v>
      </c>
    </row>
    <row r="24" spans="1:4">
      <c r="A24" s="2" t="s">
        <v>56</v>
      </c>
      <c r="D24" s="2" t="s">
        <v>56</v>
      </c>
    </row>
    <row r="25" spans="1:4">
      <c r="A25" s="1" t="s">
        <v>54</v>
      </c>
      <c r="D25" s="2" t="s">
        <v>56</v>
      </c>
    </row>
    <row r="26" spans="1:4">
      <c r="A26" s="2" t="s">
        <v>56</v>
      </c>
      <c r="D26" s="2" t="s">
        <v>56</v>
      </c>
    </row>
    <row r="27" spans="1:4">
      <c r="A27" s="2" t="s">
        <v>56</v>
      </c>
      <c r="D27" s="2" t="s">
        <v>56</v>
      </c>
    </row>
    <row r="28" spans="1:4">
      <c r="A28" s="2" t="s">
        <v>56</v>
      </c>
      <c r="D28" s="1" t="s">
        <v>54</v>
      </c>
    </row>
    <row r="29" spans="1:4">
      <c r="A29" s="2" t="s">
        <v>56</v>
      </c>
      <c r="D29" s="1" t="s">
        <v>55</v>
      </c>
    </row>
    <row r="30" spans="1:4">
      <c r="A30" s="2" t="s">
        <v>56</v>
      </c>
      <c r="D30" s="2" t="s">
        <v>56</v>
      </c>
    </row>
    <row r="31" spans="1:4">
      <c r="A31" s="2" t="s">
        <v>56</v>
      </c>
      <c r="D31" s="2" t="s">
        <v>56</v>
      </c>
    </row>
    <row r="32" spans="1:4">
      <c r="A32" s="1" t="s">
        <v>54</v>
      </c>
      <c r="D32" s="2" t="s">
        <v>56</v>
      </c>
    </row>
    <row r="33" spans="1:4">
      <c r="A33" s="1" t="s">
        <v>55</v>
      </c>
      <c r="D33" s="2" t="s">
        <v>56</v>
      </c>
    </row>
    <row r="34" spans="1:4">
      <c r="A34" s="2" t="s">
        <v>56</v>
      </c>
      <c r="D34" s="2" t="s">
        <v>56</v>
      </c>
    </row>
    <row r="35" spans="1:4">
      <c r="A35" s="2" t="s">
        <v>56</v>
      </c>
      <c r="D35" s="1" t="s">
        <v>54</v>
      </c>
    </row>
    <row r="36" spans="1:4">
      <c r="A36" s="2" t="s">
        <v>56</v>
      </c>
      <c r="D36" s="2" t="s">
        <v>56</v>
      </c>
    </row>
    <row r="37" spans="1:4">
      <c r="A37" s="2" t="s">
        <v>56</v>
      </c>
      <c r="D37" s="2" t="s">
        <v>56</v>
      </c>
    </row>
    <row r="38" spans="1:4">
      <c r="A38" s="2" t="s">
        <v>56</v>
      </c>
      <c r="D38" s="2" t="s">
        <v>56</v>
      </c>
    </row>
    <row r="39" spans="1:4">
      <c r="A39" s="1" t="s">
        <v>54</v>
      </c>
      <c r="D39" s="2" t="s">
        <v>56</v>
      </c>
    </row>
    <row r="40" spans="1:4">
      <c r="A40" s="2" t="s">
        <v>56</v>
      </c>
      <c r="D40" s="2" t="s">
        <v>56</v>
      </c>
    </row>
    <row r="41" spans="1:4">
      <c r="A41" s="2" t="s">
        <v>56</v>
      </c>
      <c r="D41" s="2" t="s">
        <v>56</v>
      </c>
    </row>
    <row r="42" spans="1:4">
      <c r="D42" s="1" t="s">
        <v>54</v>
      </c>
    </row>
    <row r="43" spans="1:4">
      <c r="D43" s="1" t="s">
        <v>55</v>
      </c>
    </row>
    <row r="44" spans="1:4">
      <c r="D44" s="2" t="s">
        <v>56</v>
      </c>
    </row>
  </sheetData>
  <sheetProtection formatCells="0" formatColumns="0" formatRows="0" insertColumns="0" insertRows="0" insertHyperlinks="0" deleteColumns="0" deleteRows="0" sort="0" autoFilter="0" pivotTables="0"/>
  <phoneticPr fontId="15" type="noConversion"/>
  <pageMargins left="0.75" right="0.75" top="1" bottom="1" header="0.5" footer="0.5"/>
  <headerFooter>
    <oddFooter>&amp;C
&amp;1#&amp;"arial"&amp;9&amp;K008000 C1 -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38748909471" isFilterShared="1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ZHOU Joey</cp:lastModifiedBy>
  <dcterms:created xsi:type="dcterms:W3CDTF">2025-06-25T00:53:00Z</dcterms:created>
  <dcterms:modified xsi:type="dcterms:W3CDTF">2025-08-29T13:36:49Z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285D01F6E97E2216F7FB8968FDCAF4FB_33</vt:lpwstr>
  </property>
  <property fmtid="{D5CDD505-2E9C-101B-9397-08002B2CF9AE}" pid="3" name="KSOProductBuildVer">
    <vt:lpwstr>2052-12.1.0.22529</vt:lpwstr>
  </property>
  <property fmtid="{D5CDD505-2E9C-101B-9397-08002B2CF9AE}" pid="4" name="MSIP_Label_f43b7177-c66c-4b22-a350-7ee86f9a1e74_Enabled">
    <vt:lpwstr>true</vt:lpwstr>
  </property>
  <property fmtid="{D5CDD505-2E9C-101B-9397-08002B2CF9AE}" pid="5" name="MSIP_Label_f43b7177-c66c-4b22-a350-7ee86f9a1e74_SetDate">
    <vt:lpwstr>2025-07-30T13:40:35Z</vt:lpwstr>
  </property>
  <property fmtid="{D5CDD505-2E9C-101B-9397-08002B2CF9AE}" pid="6" name="MSIP_Label_f43b7177-c66c-4b22-a350-7ee86f9a1e74_Method">
    <vt:lpwstr>Standard</vt:lpwstr>
  </property>
  <property fmtid="{D5CDD505-2E9C-101B-9397-08002B2CF9AE}" pid="7" name="MSIP_Label_f43b7177-c66c-4b22-a350-7ee86f9a1e74_Name">
    <vt:lpwstr>C1_Internal use</vt:lpwstr>
  </property>
  <property fmtid="{D5CDD505-2E9C-101B-9397-08002B2CF9AE}" pid="8" name="MSIP_Label_f43b7177-c66c-4b22-a350-7ee86f9a1e74_SiteId">
    <vt:lpwstr>e4e1abd9-eac7-4a71-ab52-da5c998aa7ba</vt:lpwstr>
  </property>
  <property fmtid="{D5CDD505-2E9C-101B-9397-08002B2CF9AE}" pid="9" name="MSIP_Label_f43b7177-c66c-4b22-a350-7ee86f9a1e74_ActionId">
    <vt:lpwstr>d1d010f4-c05e-4431-b717-bde77bab4320</vt:lpwstr>
  </property>
  <property fmtid="{D5CDD505-2E9C-101B-9397-08002B2CF9AE}" pid="10" name="MSIP_Label_f43b7177-c66c-4b22-a350-7ee86f9a1e74_ContentBits">
    <vt:lpwstr>2</vt:lpwstr>
  </property>
</Properties>
</file>